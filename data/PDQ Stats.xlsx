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Chico" sheetId="2" r:id="rId6"/>
    <sheet state="visible" name="SLOB" sheetId="3" r:id="rId7"/>
    <sheet state="visible" name="UCSD B" sheetId="4" r:id="rId8"/>
    <sheet state="visible" name="UCLA" sheetId="5" r:id="rId9"/>
    <sheet state="visible" name="USC" sheetId="6" r:id="rId10"/>
    <sheet state="visible" name="ASU" sheetId="7" r:id="rId11"/>
    <sheet state="visible" name="Lincoln" sheetId="8" r:id="rId12"/>
    <sheet state="visible" name="Gavin" sheetId="9" r:id="rId13"/>
    <sheet state="visible" name="Jayden" sheetId="10" r:id="rId14"/>
    <sheet state="visible" name="Rowan" sheetId="11" r:id="rId15"/>
    <sheet state="visible" name="Farmer" sheetId="12" r:id="rId16"/>
    <sheet state="visible" name="Colin" sheetId="13" r:id="rId17"/>
    <sheet state="visible" name="Tripp" sheetId="14" r:id="rId18"/>
    <sheet state="visible" name="Hugo" sheetId="15" r:id="rId19"/>
    <sheet state="visible" name="Mithu" sheetId="16" r:id="rId20"/>
    <sheet state="visible" name="Dario" sheetId="17" r:id="rId21"/>
    <sheet state="visible" name="Jay" sheetId="18" r:id="rId22"/>
    <sheet state="visible" name="Malcolm" sheetId="19" r:id="rId23"/>
    <sheet state="visible" name="Preston" sheetId="20" r:id="rId24"/>
    <sheet state="visible" name="Jacob" sheetId="21" r:id="rId25"/>
    <sheet state="visible" name="Thai" sheetId="22" r:id="rId26"/>
    <sheet state="visible" name="Evan" sheetId="23" r:id="rId27"/>
    <sheet state="visible" name="Chappy" sheetId="24" r:id="rId28"/>
    <sheet state="visible" name="Cole" sheetId="25" r:id="rId29"/>
    <sheet state="visible" name="Aryan" sheetId="26" r:id="rId30"/>
    <sheet state="visible" name="Alex" sheetId="27" r:id="rId31"/>
    <sheet state="visible" name="Nick" sheetId="28" r:id="rId32"/>
    <sheet state="visible" name="Tim" sheetId="29" r:id="rId33"/>
    <sheet state="visible" name="Ian" sheetId="30" r:id="rId34"/>
  </sheets>
  <definedNames/>
  <calcPr/>
</workbook>
</file>

<file path=xl/sharedStrings.xml><?xml version="1.0" encoding="utf-8"?>
<sst xmlns="http://schemas.openxmlformats.org/spreadsheetml/2006/main" count="521" uniqueCount="49">
  <si>
    <t>Player Stats</t>
  </si>
  <si>
    <t>Game Stats</t>
  </si>
  <si>
    <t>Points Played</t>
  </si>
  <si>
    <t>Assists</t>
  </si>
  <si>
    <t>Goals</t>
  </si>
  <si>
    <t>Blocks</t>
  </si>
  <si>
    <t>Turnovers</t>
  </si>
  <si>
    <t>Assists/Pt</t>
  </si>
  <si>
    <t>Goals/Pt</t>
  </si>
  <si>
    <t>D's/Pt</t>
  </si>
  <si>
    <t>Turnovers/Pt</t>
  </si>
  <si>
    <t>Chico</t>
  </si>
  <si>
    <t>SLOB</t>
  </si>
  <si>
    <t>UCSD B</t>
  </si>
  <si>
    <t>UCLA</t>
  </si>
  <si>
    <t>USC</t>
  </si>
  <si>
    <t>ASU</t>
  </si>
  <si>
    <t>Lincoln</t>
  </si>
  <si>
    <t>Goals Scored</t>
  </si>
  <si>
    <t>Gavin</t>
  </si>
  <si>
    <t>Goals Given</t>
  </si>
  <si>
    <t>Jayden</t>
  </si>
  <si>
    <t>Total Points</t>
  </si>
  <si>
    <t>Rowan</t>
  </si>
  <si>
    <t>Farmer</t>
  </si>
  <si>
    <t>Colin</t>
  </si>
  <si>
    <t>Blocks/Pt</t>
  </si>
  <si>
    <t>Tripp</t>
  </si>
  <si>
    <t>Hugo</t>
  </si>
  <si>
    <t>Clean Holds</t>
  </si>
  <si>
    <t>Mithu</t>
  </si>
  <si>
    <t>Dario</t>
  </si>
  <si>
    <t>Jay</t>
  </si>
  <si>
    <t>Malcolm</t>
  </si>
  <si>
    <t>Preston</t>
  </si>
  <si>
    <t>Jacob</t>
  </si>
  <si>
    <t>Thai</t>
  </si>
  <si>
    <t>Evan</t>
  </si>
  <si>
    <t>Chappy</t>
  </si>
  <si>
    <t>Cole</t>
  </si>
  <si>
    <t>Aryan</t>
  </si>
  <si>
    <t>Alex</t>
  </si>
  <si>
    <t>Nick</t>
  </si>
  <si>
    <t>Tim</t>
  </si>
  <si>
    <t>Ian</t>
  </si>
  <si>
    <t>Name</t>
  </si>
  <si>
    <t>Turns</t>
  </si>
  <si>
    <t>Total</t>
  </si>
  <si>
    <t>Total/Pts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</si>
</sst>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15">
    <border/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0" fillId="0" fontId="1" numFmtId="0" xfId="0" applyAlignment="1" applyFont="1">
      <alignment vertical="bottom"/>
    </xf>
    <xf borderId="5" fillId="2" fontId="1" numFmtId="0" xfId="0" applyAlignment="1" applyBorder="1" applyFont="1">
      <alignment vertical="bottom"/>
    </xf>
    <xf borderId="5" fillId="2" fontId="2" numFmtId="0" xfId="0" applyAlignment="1" applyBorder="1" applyFont="1">
      <alignment vertical="bottom"/>
    </xf>
    <xf borderId="5" fillId="2" fontId="2" numFmtId="0" xfId="0" applyAlignment="1" applyBorder="1" applyFont="1">
      <alignment readingOrder="0" vertical="bottom"/>
    </xf>
    <xf borderId="0" fillId="0" fontId="4" numFmtId="0" xfId="0" applyFont="1"/>
    <xf borderId="1" fillId="0" fontId="2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right" vertical="bottom"/>
    </xf>
    <xf borderId="6" fillId="0" fontId="1" numFmtId="0" xfId="0" applyAlignment="1" applyBorder="1" applyFont="1">
      <alignment horizontal="right" vertical="bottom"/>
    </xf>
    <xf borderId="6" fillId="0" fontId="1" numFmtId="4" xfId="0" applyAlignment="1" applyBorder="1" applyFont="1" applyNumberFormat="1">
      <alignment horizontal="right" vertical="bottom"/>
    </xf>
    <xf borderId="7" fillId="0" fontId="1" numFmtId="4" xfId="0" applyAlignment="1" applyBorder="1" applyFont="1" applyNumberFormat="1">
      <alignment horizontal="right" vertical="bottom"/>
    </xf>
    <xf borderId="5" fillId="0" fontId="2" numFmtId="0" xfId="0" applyAlignment="1" applyBorder="1" applyFont="1">
      <alignment vertical="bottom"/>
    </xf>
    <xf borderId="7" fillId="0" fontId="1" numFmtId="0" xfId="0" applyAlignment="1" applyBorder="1" applyFont="1">
      <alignment horizontal="right" vertical="bottom"/>
    </xf>
    <xf borderId="8" fillId="0" fontId="2" numFmtId="0" xfId="0" applyAlignment="1" applyBorder="1" applyFont="1">
      <alignment readingOrder="0" vertical="bottom"/>
    </xf>
    <xf borderId="8" fillId="0" fontId="1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right" vertical="bottom"/>
    </xf>
    <xf borderId="9" fillId="0" fontId="1" numFmtId="4" xfId="0" applyAlignment="1" applyBorder="1" applyFont="1" applyNumberFormat="1">
      <alignment horizontal="right" vertical="bottom"/>
    </xf>
    <xf borderId="10" fillId="0" fontId="2" numFmtId="0" xfId="0" applyAlignment="1" applyBorder="1" applyFont="1">
      <alignment vertical="bottom"/>
    </xf>
    <xf borderId="0" fillId="0" fontId="1" numFmtId="0" xfId="0" applyAlignment="1" applyFont="1">
      <alignment horizontal="right" readingOrder="0" vertical="bottom"/>
    </xf>
    <xf borderId="9" fillId="0" fontId="1" numFmtId="0" xfId="0" applyAlignment="1" applyBorder="1" applyFont="1">
      <alignment horizontal="right" readingOrder="0" vertical="bottom"/>
    </xf>
    <xf borderId="9" fillId="0" fontId="1" numFmtId="0" xfId="0" applyAlignment="1" applyBorder="1" applyFont="1">
      <alignment horizontal="right" vertical="bottom"/>
    </xf>
    <xf borderId="10" fillId="0" fontId="2" numFmtId="0" xfId="0" applyAlignment="1" applyBorder="1" applyFont="1">
      <alignment readingOrder="0" vertical="bottom"/>
    </xf>
    <xf borderId="0" fillId="0" fontId="4" numFmtId="4" xfId="0" applyFont="1" applyNumberFormat="1"/>
    <xf borderId="11" fillId="0" fontId="2" numFmtId="0" xfId="0" applyAlignment="1" applyBorder="1" applyFont="1">
      <alignment readingOrder="0" vertical="bottom"/>
    </xf>
    <xf borderId="12" fillId="0" fontId="1" numFmtId="0" xfId="0" applyAlignment="1" applyBorder="1" applyFont="1">
      <alignment horizontal="right" readingOrder="0" vertical="bottom"/>
    </xf>
    <xf borderId="13" fillId="0" fontId="1" numFmtId="0" xfId="0" applyAlignment="1" applyBorder="1" applyFont="1">
      <alignment horizontal="right" readingOrder="0" vertical="bottom"/>
    </xf>
    <xf borderId="14" fillId="0" fontId="2" numFmtId="0" xfId="0" applyAlignment="1" applyBorder="1" applyFont="1">
      <alignment readingOrder="0" vertical="bottom"/>
    </xf>
    <xf borderId="14" fillId="0" fontId="1" numFmtId="0" xfId="0" applyAlignment="1" applyBorder="1" applyFont="1">
      <alignment horizontal="right" vertical="bottom"/>
    </xf>
    <xf borderId="12" fillId="0" fontId="1" numFmtId="0" xfId="0" applyAlignment="1" applyBorder="1" applyFont="1">
      <alignment horizontal="right" vertical="bottom"/>
    </xf>
    <xf borderId="12" fillId="0" fontId="1" numFmtId="4" xfId="0" applyAlignment="1" applyBorder="1" applyFont="1" applyNumberFormat="1">
      <alignment horizontal="right" vertical="bottom"/>
    </xf>
    <xf borderId="13" fillId="0" fontId="1" numFmtId="4" xfId="0" applyAlignment="1" applyBorder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vertical="bottom"/>
    </xf>
    <xf borderId="2" fillId="3" fontId="5" numFmtId="0" xfId="0" applyAlignment="1" applyBorder="1" applyFill="1" applyFont="1">
      <alignment readingOrder="0"/>
    </xf>
    <xf borderId="3" fillId="3" fontId="5" numFmtId="0" xfId="0" applyAlignment="1" applyBorder="1" applyFont="1">
      <alignment readingOrder="0"/>
    </xf>
    <xf borderId="4" fillId="3" fontId="5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9" fillId="0" fontId="4" numFmtId="0" xfId="0" applyAlignment="1" applyBorder="1" applyFont="1">
      <alignment readingOrder="0"/>
    </xf>
    <xf borderId="11" fillId="0" fontId="4" numFmtId="0" xfId="0" applyAlignment="1" applyBorder="1" applyFont="1">
      <alignment readingOrder="0"/>
    </xf>
    <xf borderId="12" fillId="0" fontId="4" numFmtId="0" xfId="0" applyAlignment="1" applyBorder="1" applyFont="1">
      <alignment readingOrder="0"/>
    </xf>
    <xf borderId="13" fillId="0" fontId="4" numFmtId="0" xfId="0" applyAlignment="1" applyBorder="1" applyFont="1">
      <alignment readingOrder="0"/>
    </xf>
    <xf borderId="1" fillId="2" fontId="2" numFmtId="0" xfId="0" applyAlignment="1" applyBorder="1" applyFont="1">
      <alignment readingOrder="0" vertical="bottom"/>
    </xf>
    <xf borderId="6" fillId="2" fontId="2" numFmtId="0" xfId="0" applyAlignment="1" applyBorder="1" applyFont="1">
      <alignment readingOrder="0" vertical="bottom"/>
    </xf>
    <xf borderId="7" fillId="2" fontId="2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right" vertical="bottom"/>
    </xf>
    <xf borderId="6" fillId="0" fontId="1" numFmtId="0" xfId="0" applyAlignment="1" applyBorder="1" applyFont="1">
      <alignment horizontal="right" vertical="bottom"/>
    </xf>
    <xf borderId="7" fillId="0" fontId="1" numFmtId="0" xfId="0" applyAlignment="1" applyBorder="1" applyFont="1">
      <alignment horizontal="right" vertical="bottom"/>
    </xf>
    <xf borderId="8" fillId="2" fontId="2" numFmtId="0" xfId="0" applyAlignment="1" applyBorder="1" applyFont="1">
      <alignment readingOrder="0" vertical="bottom"/>
    </xf>
    <xf borderId="8" fillId="0" fontId="1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  <xf borderId="9" fillId="0" fontId="1" numFmtId="0" xfId="0" applyAlignment="1" applyBorder="1" applyFont="1">
      <alignment horizontal="right" vertical="bottom"/>
    </xf>
    <xf borderId="14" fillId="2" fontId="5" numFmtId="0" xfId="0" applyAlignment="1" applyBorder="1" applyFont="1">
      <alignment readingOrder="0"/>
    </xf>
    <xf borderId="14" fillId="0" fontId="1" numFmtId="0" xfId="0" applyAlignment="1" applyBorder="1" applyFont="1">
      <alignment horizontal="right" vertical="bottom"/>
    </xf>
    <xf borderId="12" fillId="0" fontId="1" numFmtId="0" xfId="0" applyAlignment="1" applyBorder="1" applyFont="1">
      <alignment horizontal="right" vertical="bottom"/>
    </xf>
    <xf borderId="13" fillId="0" fontId="1" numFmtId="0" xfId="0" applyAlignment="1" applyBorder="1" applyFont="1">
      <alignment horizontal="right" vertical="bottom"/>
    </xf>
    <xf borderId="1" fillId="2" fontId="5" numFmtId="0" xfId="0" applyAlignment="1" applyBorder="1" applyFont="1">
      <alignment readingOrder="0"/>
    </xf>
    <xf borderId="8" fillId="2" fontId="5" numFmtId="0" xfId="0" applyBorder="1" applyFont="1"/>
    <xf borderId="0" fillId="2" fontId="5" numFmtId="0" xfId="0" applyFont="1"/>
    <xf borderId="14" fillId="2" fontId="5" numFmtId="4" xfId="0" applyBorder="1" applyFont="1" applyNumberFormat="1"/>
    <xf borderId="12" fillId="2" fontId="5" numFmtId="4" xfId="0" applyBorder="1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8">
    <tableStyle count="2" pivot="0" name="Summary-style">
      <tableStyleElement dxfId="1" type="firstRowStripe"/>
      <tableStyleElement dxfId="2" type="secondRowStripe"/>
    </tableStyle>
    <tableStyle count="2" pivot="0" name="Summary-style 2">
      <tableStyleElement dxfId="1" type="firstRowStripe"/>
      <tableStyleElement dxfId="2" type="secondRowStripe"/>
    </tableStyle>
    <tableStyle count="2" pivot="0" name="Chico-style">
      <tableStyleElement dxfId="1" type="firstRowStripe"/>
      <tableStyleElement dxfId="2" type="secondRowStripe"/>
    </tableStyle>
    <tableStyle count="2" pivot="0" name="SLOB-style">
      <tableStyleElement dxfId="1" type="firstRowStripe"/>
      <tableStyleElement dxfId="2" type="secondRowStripe"/>
    </tableStyle>
    <tableStyle count="2" pivot="0" name="UCSD B-style">
      <tableStyleElement dxfId="1" type="firstRowStripe"/>
      <tableStyleElement dxfId="2" type="secondRowStripe"/>
    </tableStyle>
    <tableStyle count="2" pivot="0" name="UCLA-style">
      <tableStyleElement dxfId="1" type="firstRowStripe"/>
      <tableStyleElement dxfId="2" type="secondRowStripe"/>
    </tableStyle>
    <tableStyle count="2" pivot="0" name="USC-style">
      <tableStyleElement dxfId="1" type="firstRowStripe"/>
      <tableStyleElement dxfId="2" type="secondRowStripe"/>
    </tableStyle>
    <tableStyle count="2" pivot="0" name="ASU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J27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ummary-style" showColumnStripes="0" showFirstColumn="1" showLastColumn="1" showRowStripes="1"/>
</table>
</file>

<file path=xl/tables/table2.xml><?xml version="1.0" encoding="utf-8"?>
<table xmlns="http://schemas.openxmlformats.org/spreadsheetml/2006/main" headerRowCount="0" ref="L3:R10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ummary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:F24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hico-style" showColumnStripes="0" showFirstColumn="1" showLastColumn="1" showRowStripes="1"/>
</table>
</file>

<file path=xl/tables/table4.xml><?xml version="1.0" encoding="utf-8"?>
<table xmlns="http://schemas.openxmlformats.org/spreadsheetml/2006/main" headerRowCount="0" ref="A2:F24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LOB-style" showColumnStripes="0" showFirstColumn="1" showLastColumn="1" showRowStripes="1"/>
</table>
</file>

<file path=xl/tables/table5.xml><?xml version="1.0" encoding="utf-8"?>
<table xmlns="http://schemas.openxmlformats.org/spreadsheetml/2006/main" headerRowCount="0" ref="A2:F24" displayName="Table_5" name="Table_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UCSD B-style" showColumnStripes="0" showFirstColumn="1" showLastColumn="1" showRowStripes="1"/>
</table>
</file>

<file path=xl/tables/table6.xml><?xml version="1.0" encoding="utf-8"?>
<table xmlns="http://schemas.openxmlformats.org/spreadsheetml/2006/main" headerRowCount="0" ref="A2:F24" displayName="Table_6" name="Table_6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UCLA-style" showColumnStripes="0" showFirstColumn="1" showLastColumn="1" showRowStripes="1"/>
</table>
</file>

<file path=xl/tables/table7.xml><?xml version="1.0" encoding="utf-8"?>
<table xmlns="http://schemas.openxmlformats.org/spreadsheetml/2006/main" headerRowCount="0" ref="A2:F24" displayName="Table_7" name="Table_7" id="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USC-style" showColumnStripes="0" showFirstColumn="1" showLastColumn="1" showRowStripes="1"/>
</table>
</file>

<file path=xl/tables/table8.xml><?xml version="1.0" encoding="utf-8"?>
<table xmlns="http://schemas.openxmlformats.org/spreadsheetml/2006/main" headerRowCount="0" ref="A2:F24" displayName="Table_8" name="Table_8" id="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S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  <c r="K1" s="5"/>
      <c r="L1" s="2" t="s">
        <v>1</v>
      </c>
      <c r="M1" s="3"/>
      <c r="N1" s="3"/>
      <c r="O1" s="3"/>
      <c r="P1" s="3"/>
      <c r="Q1" s="3"/>
      <c r="R1" s="4"/>
    </row>
    <row r="2">
      <c r="A2" s="6"/>
      <c r="B2" s="7" t="s">
        <v>2</v>
      </c>
      <c r="C2" s="7" t="s">
        <v>3</v>
      </c>
      <c r="D2" s="7" t="s">
        <v>4</v>
      </c>
      <c r="E2" s="8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5"/>
      <c r="L2" s="6"/>
      <c r="M2" s="8" t="s">
        <v>11</v>
      </c>
      <c r="N2" s="8" t="s">
        <v>12</v>
      </c>
      <c r="O2" s="8" t="s">
        <v>13</v>
      </c>
      <c r="P2" s="8" t="s">
        <v>14</v>
      </c>
      <c r="Q2" s="8" t="s">
        <v>15</v>
      </c>
      <c r="R2" s="8" t="s">
        <v>16</v>
      </c>
      <c r="S2" s="9"/>
    </row>
    <row r="3">
      <c r="A3" s="10" t="s">
        <v>17</v>
      </c>
      <c r="B3" s="11">
        <f t="shared" ref="B3:B25" si="2">INDIRECT("'"&amp;$A3&amp;"'!$B$9")</f>
        <v>35</v>
      </c>
      <c r="C3" s="12">
        <f t="shared" ref="C3:C25" si="3">INDIRECT("'"&amp;$A3&amp;"'!$C$9")</f>
        <v>1</v>
      </c>
      <c r="D3" s="12">
        <f t="shared" ref="D3:D25" si="4">INDIRECT("'"&amp;$A3&amp;"'!$D$9")</f>
        <v>0</v>
      </c>
      <c r="E3" s="12">
        <f t="shared" ref="E3:E25" si="5">INDIRECT("'"&amp;$A3&amp;"'!$E$9")</f>
        <v>0</v>
      </c>
      <c r="F3" s="12">
        <f t="shared" ref="F3:F25" si="6">INDIRECT("'"&amp;$A3&amp;"'!$F$9")</f>
        <v>8</v>
      </c>
      <c r="G3" s="13">
        <f t="shared" ref="G3:G25" si="7">INDIRECT("'"&amp;$A3&amp;"'!$C$10")</f>
        <v>0.02857142857</v>
      </c>
      <c r="H3" s="13">
        <f t="shared" ref="H3:H25" si="8">INDIRECT("'"&amp;$A3&amp;"'!$D$10")</f>
        <v>0</v>
      </c>
      <c r="I3" s="13">
        <f t="shared" ref="I3:I25" si="9">INDIRECT("'"&amp;$A3&amp;"'!$E$10")</f>
        <v>0</v>
      </c>
      <c r="J3" s="14">
        <f t="shared" ref="J3:J25" si="10">INDIRECT("'"&amp;$A3&amp;"'!$F$10")</f>
        <v>0.2285714286</v>
      </c>
      <c r="K3" s="5"/>
      <c r="L3" s="15" t="s">
        <v>18</v>
      </c>
      <c r="M3" s="12">
        <f t="shared" ref="M3:R3" si="1">SUM(INDIRECT("'"&amp;M2&amp;"'!D:D"))</f>
        <v>12</v>
      </c>
      <c r="N3" s="12">
        <f t="shared" si="1"/>
        <v>6</v>
      </c>
      <c r="O3" s="12">
        <f t="shared" si="1"/>
        <v>12</v>
      </c>
      <c r="P3" s="12">
        <f t="shared" si="1"/>
        <v>1</v>
      </c>
      <c r="Q3" s="12">
        <f t="shared" si="1"/>
        <v>6</v>
      </c>
      <c r="R3" s="16">
        <f t="shared" si="1"/>
        <v>10</v>
      </c>
    </row>
    <row r="4">
      <c r="A4" s="17" t="s">
        <v>19</v>
      </c>
      <c r="B4" s="18">
        <f t="shared" si="2"/>
        <v>41</v>
      </c>
      <c r="C4" s="19">
        <f t="shared" si="3"/>
        <v>4</v>
      </c>
      <c r="D4" s="19">
        <f t="shared" si="4"/>
        <v>2</v>
      </c>
      <c r="E4" s="19">
        <f t="shared" si="5"/>
        <v>0</v>
      </c>
      <c r="F4" s="19">
        <f t="shared" si="6"/>
        <v>7</v>
      </c>
      <c r="G4" s="20">
        <f t="shared" si="7"/>
        <v>0.09756097561</v>
      </c>
      <c r="H4" s="20">
        <f t="shared" si="8"/>
        <v>0.0487804878</v>
      </c>
      <c r="I4" s="20">
        <f t="shared" si="9"/>
        <v>0</v>
      </c>
      <c r="J4" s="21">
        <f t="shared" si="10"/>
        <v>0.1707317073</v>
      </c>
      <c r="K4" s="5"/>
      <c r="L4" s="22" t="s">
        <v>20</v>
      </c>
      <c r="M4" s="23">
        <v>11.0</v>
      </c>
      <c r="N4" s="23">
        <v>13.0</v>
      </c>
      <c r="O4" s="23">
        <v>7.0</v>
      </c>
      <c r="P4" s="23">
        <v>13.0</v>
      </c>
      <c r="Q4" s="23">
        <v>9.0</v>
      </c>
      <c r="R4" s="24">
        <v>13.0</v>
      </c>
      <c r="S4" s="9"/>
    </row>
    <row r="5">
      <c r="A5" s="17" t="s">
        <v>21</v>
      </c>
      <c r="B5" s="18">
        <f t="shared" si="2"/>
        <v>40</v>
      </c>
      <c r="C5" s="19">
        <f t="shared" si="3"/>
        <v>2</v>
      </c>
      <c r="D5" s="19">
        <f t="shared" si="4"/>
        <v>1</v>
      </c>
      <c r="E5" s="19">
        <f t="shared" si="5"/>
        <v>1</v>
      </c>
      <c r="F5" s="19">
        <f t="shared" si="6"/>
        <v>6</v>
      </c>
      <c r="G5" s="20">
        <f t="shared" si="7"/>
        <v>0.05</v>
      </c>
      <c r="H5" s="20">
        <f t="shared" si="8"/>
        <v>0.025</v>
      </c>
      <c r="I5" s="20">
        <f t="shared" si="9"/>
        <v>0.025</v>
      </c>
      <c r="J5" s="21">
        <f t="shared" si="10"/>
        <v>0.15</v>
      </c>
      <c r="K5" s="5"/>
      <c r="L5" s="22" t="s">
        <v>22</v>
      </c>
      <c r="M5" s="19">
        <f t="shared" ref="M5:R5" si="11">SUM(M3:M4)</f>
        <v>23</v>
      </c>
      <c r="N5" s="19">
        <f t="shared" si="11"/>
        <v>19</v>
      </c>
      <c r="O5" s="19">
        <f t="shared" si="11"/>
        <v>19</v>
      </c>
      <c r="P5" s="19">
        <f t="shared" si="11"/>
        <v>14</v>
      </c>
      <c r="Q5" s="19">
        <f t="shared" si="11"/>
        <v>15</v>
      </c>
      <c r="R5" s="25">
        <f t="shared" si="11"/>
        <v>23</v>
      </c>
    </row>
    <row r="6">
      <c r="A6" s="17" t="s">
        <v>23</v>
      </c>
      <c r="B6" s="18">
        <f t="shared" si="2"/>
        <v>47</v>
      </c>
      <c r="C6" s="19">
        <f t="shared" si="3"/>
        <v>9</v>
      </c>
      <c r="D6" s="19">
        <f t="shared" si="4"/>
        <v>1</v>
      </c>
      <c r="E6" s="19">
        <f t="shared" si="5"/>
        <v>5</v>
      </c>
      <c r="F6" s="19">
        <f t="shared" si="6"/>
        <v>6</v>
      </c>
      <c r="G6" s="20">
        <f t="shared" si="7"/>
        <v>0.1914893617</v>
      </c>
      <c r="H6" s="20">
        <f t="shared" si="8"/>
        <v>0.02127659574</v>
      </c>
      <c r="I6" s="20">
        <f t="shared" si="9"/>
        <v>0.1063829787</v>
      </c>
      <c r="J6" s="21">
        <f t="shared" si="10"/>
        <v>0.1276595745</v>
      </c>
      <c r="K6" s="5"/>
      <c r="L6" s="26" t="s">
        <v>5</v>
      </c>
      <c r="M6" s="19">
        <f t="shared" ref="M6:R6" si="12">SUM(INDIRECT("'"&amp;M2&amp;"'!E:E"))</f>
        <v>6</v>
      </c>
      <c r="N6" s="19">
        <f t="shared" si="12"/>
        <v>5</v>
      </c>
      <c r="O6" s="19">
        <f t="shared" si="12"/>
        <v>11</v>
      </c>
      <c r="P6" s="19">
        <f t="shared" si="12"/>
        <v>4</v>
      </c>
      <c r="Q6" s="19">
        <f t="shared" si="12"/>
        <v>11</v>
      </c>
      <c r="R6" s="25">
        <f t="shared" si="12"/>
        <v>7</v>
      </c>
    </row>
    <row r="7">
      <c r="A7" s="17" t="s">
        <v>24</v>
      </c>
      <c r="B7" s="18">
        <f t="shared" si="2"/>
        <v>49</v>
      </c>
      <c r="C7" s="19">
        <f t="shared" si="3"/>
        <v>2</v>
      </c>
      <c r="D7" s="19">
        <f t="shared" si="4"/>
        <v>5</v>
      </c>
      <c r="E7" s="19">
        <f t="shared" si="5"/>
        <v>3</v>
      </c>
      <c r="F7" s="19">
        <f t="shared" si="6"/>
        <v>9</v>
      </c>
      <c r="G7" s="20">
        <f t="shared" si="7"/>
        <v>0.04081632653</v>
      </c>
      <c r="H7" s="20">
        <f t="shared" si="8"/>
        <v>0.1020408163</v>
      </c>
      <c r="I7" s="20">
        <f t="shared" si="9"/>
        <v>0.0612244898</v>
      </c>
      <c r="J7" s="21">
        <f t="shared" si="10"/>
        <v>0.1836734694</v>
      </c>
      <c r="K7" s="5"/>
      <c r="L7" s="22" t="s">
        <v>6</v>
      </c>
      <c r="M7" s="19">
        <f t="shared" ref="M7:R7" si="13">SUM(INDIRECT("'"&amp;M2&amp;"'!F:F"))</f>
        <v>13</v>
      </c>
      <c r="N7" s="19">
        <f t="shared" si="13"/>
        <v>13</v>
      </c>
      <c r="O7" s="19">
        <f t="shared" si="13"/>
        <v>19</v>
      </c>
      <c r="P7" s="19">
        <f t="shared" si="13"/>
        <v>17</v>
      </c>
      <c r="Q7" s="19">
        <f t="shared" si="13"/>
        <v>21</v>
      </c>
      <c r="R7" s="25">
        <f t="shared" si="13"/>
        <v>18</v>
      </c>
    </row>
    <row r="8">
      <c r="A8" s="17" t="s">
        <v>25</v>
      </c>
      <c r="B8" s="18">
        <f t="shared" si="2"/>
        <v>51</v>
      </c>
      <c r="C8" s="19">
        <f t="shared" si="3"/>
        <v>3</v>
      </c>
      <c r="D8" s="19">
        <f t="shared" si="4"/>
        <v>5</v>
      </c>
      <c r="E8" s="19">
        <f t="shared" si="5"/>
        <v>2</v>
      </c>
      <c r="F8" s="19">
        <f t="shared" si="6"/>
        <v>4</v>
      </c>
      <c r="G8" s="20">
        <f t="shared" si="7"/>
        <v>0.05882352941</v>
      </c>
      <c r="H8" s="20">
        <f t="shared" si="8"/>
        <v>0.09803921569</v>
      </c>
      <c r="I8" s="20">
        <f t="shared" si="9"/>
        <v>0.03921568627</v>
      </c>
      <c r="J8" s="21">
        <f t="shared" si="10"/>
        <v>0.07843137255</v>
      </c>
      <c r="K8" s="5"/>
      <c r="L8" s="26" t="s">
        <v>26</v>
      </c>
      <c r="M8" s="20">
        <f t="shared" ref="M8:R8" si="14">M6/M5</f>
        <v>0.2608695652</v>
      </c>
      <c r="N8" s="20">
        <f t="shared" si="14"/>
        <v>0.2631578947</v>
      </c>
      <c r="O8" s="20">
        <f t="shared" si="14"/>
        <v>0.5789473684</v>
      </c>
      <c r="P8" s="20">
        <f t="shared" si="14"/>
        <v>0.2857142857</v>
      </c>
      <c r="Q8" s="20">
        <f t="shared" si="14"/>
        <v>0.7333333333</v>
      </c>
      <c r="R8" s="21">
        <f t="shared" si="14"/>
        <v>0.3043478261</v>
      </c>
      <c r="S8" s="27"/>
    </row>
    <row r="9">
      <c r="A9" s="17" t="s">
        <v>27</v>
      </c>
      <c r="B9" s="18">
        <f t="shared" si="2"/>
        <v>48</v>
      </c>
      <c r="C9" s="19">
        <f t="shared" si="3"/>
        <v>1</v>
      </c>
      <c r="D9" s="19">
        <f t="shared" si="4"/>
        <v>4</v>
      </c>
      <c r="E9" s="19">
        <f t="shared" si="5"/>
        <v>4</v>
      </c>
      <c r="F9" s="19">
        <f t="shared" si="6"/>
        <v>5</v>
      </c>
      <c r="G9" s="20">
        <f t="shared" si="7"/>
        <v>0.02083333333</v>
      </c>
      <c r="H9" s="20">
        <f t="shared" si="8"/>
        <v>0.08333333333</v>
      </c>
      <c r="I9" s="20">
        <f t="shared" si="9"/>
        <v>0.08333333333</v>
      </c>
      <c r="J9" s="21">
        <f t="shared" si="10"/>
        <v>0.1041666667</v>
      </c>
      <c r="K9" s="5"/>
      <c r="L9" s="22" t="s">
        <v>10</v>
      </c>
      <c r="M9" s="20">
        <f t="shared" ref="M9:R9" si="15">M7/M5</f>
        <v>0.5652173913</v>
      </c>
      <c r="N9" s="20">
        <f t="shared" si="15"/>
        <v>0.6842105263</v>
      </c>
      <c r="O9" s="20">
        <f t="shared" si="15"/>
        <v>1</v>
      </c>
      <c r="P9" s="20">
        <f t="shared" si="15"/>
        <v>1.214285714</v>
      </c>
      <c r="Q9" s="20">
        <f t="shared" si="15"/>
        <v>1.4</v>
      </c>
      <c r="R9" s="21">
        <f t="shared" si="15"/>
        <v>0.7826086957</v>
      </c>
      <c r="S9" s="27"/>
    </row>
    <row r="10">
      <c r="A10" s="17" t="s">
        <v>28</v>
      </c>
      <c r="B10" s="18">
        <f t="shared" si="2"/>
        <v>46</v>
      </c>
      <c r="C10" s="19">
        <f t="shared" si="3"/>
        <v>4</v>
      </c>
      <c r="D10" s="19">
        <f t="shared" si="4"/>
        <v>9</v>
      </c>
      <c r="E10" s="19">
        <f t="shared" si="5"/>
        <v>2</v>
      </c>
      <c r="F10" s="19">
        <f t="shared" si="6"/>
        <v>8</v>
      </c>
      <c r="G10" s="20">
        <f t="shared" si="7"/>
        <v>0.08695652174</v>
      </c>
      <c r="H10" s="20">
        <f t="shared" si="8"/>
        <v>0.1956521739</v>
      </c>
      <c r="I10" s="20">
        <f t="shared" si="9"/>
        <v>0.04347826087</v>
      </c>
      <c r="J10" s="21">
        <f t="shared" si="10"/>
        <v>0.1739130435</v>
      </c>
      <c r="K10" s="5"/>
      <c r="L10" s="28" t="s">
        <v>29</v>
      </c>
      <c r="M10" s="29">
        <v>4.0</v>
      </c>
      <c r="N10" s="29">
        <v>1.0</v>
      </c>
      <c r="O10" s="29">
        <v>4.0</v>
      </c>
      <c r="P10" s="29">
        <v>0.0</v>
      </c>
      <c r="Q10" s="29">
        <v>2.0</v>
      </c>
      <c r="R10" s="30">
        <v>3.0</v>
      </c>
      <c r="S10" s="5"/>
    </row>
    <row r="11">
      <c r="A11" s="17" t="s">
        <v>30</v>
      </c>
      <c r="B11" s="18">
        <f t="shared" si="2"/>
        <v>23</v>
      </c>
      <c r="C11" s="19">
        <f t="shared" si="3"/>
        <v>2</v>
      </c>
      <c r="D11" s="19">
        <f t="shared" si="4"/>
        <v>1</v>
      </c>
      <c r="E11" s="19">
        <f t="shared" si="5"/>
        <v>0</v>
      </c>
      <c r="F11" s="19">
        <f t="shared" si="6"/>
        <v>1</v>
      </c>
      <c r="G11" s="20">
        <f t="shared" si="7"/>
        <v>0.08695652174</v>
      </c>
      <c r="H11" s="20">
        <f t="shared" si="8"/>
        <v>0.04347826087</v>
      </c>
      <c r="I11" s="20">
        <f t="shared" si="9"/>
        <v>0</v>
      </c>
      <c r="J11" s="21">
        <f t="shared" si="10"/>
        <v>0.04347826087</v>
      </c>
      <c r="K11" s="5"/>
      <c r="L11" s="5"/>
      <c r="M11" s="5"/>
      <c r="N11" s="5"/>
      <c r="O11" s="5"/>
      <c r="P11" s="5"/>
      <c r="Q11" s="5"/>
      <c r="R11" s="5"/>
      <c r="S11" s="5"/>
    </row>
    <row r="12">
      <c r="A12" s="17" t="s">
        <v>31</v>
      </c>
      <c r="B12" s="18">
        <f t="shared" si="2"/>
        <v>22</v>
      </c>
      <c r="C12" s="19">
        <f t="shared" si="3"/>
        <v>4</v>
      </c>
      <c r="D12" s="19">
        <f t="shared" si="4"/>
        <v>2</v>
      </c>
      <c r="E12" s="19">
        <f t="shared" si="5"/>
        <v>0</v>
      </c>
      <c r="F12" s="19">
        <f t="shared" si="6"/>
        <v>2</v>
      </c>
      <c r="G12" s="20">
        <f t="shared" si="7"/>
        <v>0.1818181818</v>
      </c>
      <c r="H12" s="20">
        <f t="shared" si="8"/>
        <v>0.09090909091</v>
      </c>
      <c r="I12" s="20">
        <f t="shared" si="9"/>
        <v>0</v>
      </c>
      <c r="J12" s="21">
        <f t="shared" si="10"/>
        <v>0.09090909091</v>
      </c>
      <c r="K12" s="5"/>
      <c r="L12" s="5"/>
      <c r="M12" s="5"/>
      <c r="N12" s="5"/>
      <c r="O12" s="5"/>
      <c r="P12" s="5"/>
      <c r="Q12" s="5"/>
      <c r="R12" s="5"/>
      <c r="S12" s="5"/>
    </row>
    <row r="13">
      <c r="A13" s="17" t="s">
        <v>32</v>
      </c>
      <c r="B13" s="18">
        <f t="shared" si="2"/>
        <v>10</v>
      </c>
      <c r="C13" s="19">
        <f t="shared" si="3"/>
        <v>1</v>
      </c>
      <c r="D13" s="19">
        <f t="shared" si="4"/>
        <v>0</v>
      </c>
      <c r="E13" s="19">
        <f t="shared" si="5"/>
        <v>1</v>
      </c>
      <c r="F13" s="19">
        <f t="shared" si="6"/>
        <v>5</v>
      </c>
      <c r="G13" s="20">
        <f t="shared" si="7"/>
        <v>0.1</v>
      </c>
      <c r="H13" s="20">
        <f t="shared" si="8"/>
        <v>0</v>
      </c>
      <c r="I13" s="20">
        <f t="shared" si="9"/>
        <v>0.1</v>
      </c>
      <c r="J13" s="21">
        <f t="shared" si="10"/>
        <v>0.5</v>
      </c>
      <c r="K13" s="5"/>
      <c r="L13" s="5"/>
      <c r="M13" s="5"/>
      <c r="N13" s="5"/>
      <c r="O13" s="5"/>
      <c r="P13" s="5"/>
      <c r="Q13" s="5"/>
      <c r="R13" s="5"/>
      <c r="S13" s="5"/>
    </row>
    <row r="14">
      <c r="A14" s="17" t="s">
        <v>33</v>
      </c>
      <c r="B14" s="18">
        <f t="shared" si="2"/>
        <v>35</v>
      </c>
      <c r="C14" s="19">
        <f t="shared" si="3"/>
        <v>1</v>
      </c>
      <c r="D14" s="19">
        <f t="shared" si="4"/>
        <v>1</v>
      </c>
      <c r="E14" s="19">
        <f t="shared" si="5"/>
        <v>2</v>
      </c>
      <c r="F14" s="19">
        <f t="shared" si="6"/>
        <v>7</v>
      </c>
      <c r="G14" s="20">
        <f t="shared" si="7"/>
        <v>0.02857142857</v>
      </c>
      <c r="H14" s="20">
        <f t="shared" si="8"/>
        <v>0.02857142857</v>
      </c>
      <c r="I14" s="20">
        <f t="shared" si="9"/>
        <v>0.05714285714</v>
      </c>
      <c r="J14" s="21">
        <f t="shared" si="10"/>
        <v>0.2</v>
      </c>
      <c r="K14" s="5"/>
      <c r="L14" s="5"/>
      <c r="M14" s="5"/>
      <c r="N14" s="5"/>
      <c r="O14" s="5"/>
      <c r="P14" s="5"/>
      <c r="Q14" s="5"/>
      <c r="R14" s="5"/>
      <c r="S14" s="5"/>
    </row>
    <row r="15">
      <c r="A15" s="17" t="s">
        <v>34</v>
      </c>
      <c r="B15" s="18" t="str">
        <f t="shared" si="2"/>
        <v/>
      </c>
      <c r="C15" s="19" t="str">
        <f t="shared" si="3"/>
        <v/>
      </c>
      <c r="D15" s="19" t="str">
        <f t="shared" si="4"/>
        <v/>
      </c>
      <c r="E15" s="19" t="str">
        <f t="shared" si="5"/>
        <v/>
      </c>
      <c r="F15" s="19" t="str">
        <f t="shared" si="6"/>
        <v/>
      </c>
      <c r="G15" s="20" t="str">
        <f t="shared" si="7"/>
        <v/>
      </c>
      <c r="H15" s="20" t="str">
        <f t="shared" si="8"/>
        <v/>
      </c>
      <c r="I15" s="20" t="str">
        <f t="shared" si="9"/>
        <v/>
      </c>
      <c r="J15" s="21" t="str">
        <f t="shared" si="10"/>
        <v/>
      </c>
      <c r="K15" s="5"/>
      <c r="L15" s="5"/>
      <c r="M15" s="5"/>
      <c r="N15" s="5"/>
      <c r="O15" s="5"/>
      <c r="P15" s="5"/>
      <c r="Q15" s="5"/>
      <c r="R15" s="5"/>
      <c r="S15" s="5"/>
    </row>
    <row r="16">
      <c r="A16" s="17" t="s">
        <v>35</v>
      </c>
      <c r="B16" s="18">
        <f t="shared" si="2"/>
        <v>43</v>
      </c>
      <c r="C16" s="19">
        <f t="shared" si="3"/>
        <v>0</v>
      </c>
      <c r="D16" s="19">
        <f t="shared" si="4"/>
        <v>1</v>
      </c>
      <c r="E16" s="19">
        <f t="shared" si="5"/>
        <v>3</v>
      </c>
      <c r="F16" s="19">
        <f t="shared" si="6"/>
        <v>0</v>
      </c>
      <c r="G16" s="20">
        <f t="shared" si="7"/>
        <v>0</v>
      </c>
      <c r="H16" s="20">
        <f t="shared" si="8"/>
        <v>0.02325581395</v>
      </c>
      <c r="I16" s="20">
        <f t="shared" si="9"/>
        <v>0.06976744186</v>
      </c>
      <c r="J16" s="21">
        <f t="shared" si="10"/>
        <v>0</v>
      </c>
      <c r="K16" s="5"/>
      <c r="L16" s="5"/>
      <c r="M16" s="5"/>
      <c r="N16" s="5"/>
      <c r="O16" s="5"/>
      <c r="P16" s="5"/>
      <c r="Q16" s="5"/>
      <c r="R16" s="5"/>
      <c r="S16" s="5"/>
    </row>
    <row r="17">
      <c r="A17" s="17" t="s">
        <v>36</v>
      </c>
      <c r="B17" s="18">
        <f t="shared" si="2"/>
        <v>50</v>
      </c>
      <c r="C17" s="19">
        <f t="shared" si="3"/>
        <v>4</v>
      </c>
      <c r="D17" s="19">
        <f t="shared" si="4"/>
        <v>3</v>
      </c>
      <c r="E17" s="19">
        <f t="shared" si="5"/>
        <v>6</v>
      </c>
      <c r="F17" s="19">
        <f t="shared" si="6"/>
        <v>5</v>
      </c>
      <c r="G17" s="20">
        <f t="shared" si="7"/>
        <v>0.08</v>
      </c>
      <c r="H17" s="20">
        <f t="shared" si="8"/>
        <v>0.06</v>
      </c>
      <c r="I17" s="20">
        <f t="shared" si="9"/>
        <v>0.12</v>
      </c>
      <c r="J17" s="21">
        <f t="shared" si="10"/>
        <v>0.1</v>
      </c>
      <c r="K17" s="5"/>
      <c r="L17" s="5"/>
      <c r="M17" s="5"/>
      <c r="N17" s="5"/>
      <c r="O17" s="5"/>
      <c r="P17" s="5"/>
      <c r="Q17" s="5"/>
      <c r="R17" s="5"/>
      <c r="S17" s="5"/>
    </row>
    <row r="18">
      <c r="A18" s="17" t="s">
        <v>37</v>
      </c>
      <c r="B18" s="18">
        <f t="shared" si="2"/>
        <v>55</v>
      </c>
      <c r="C18" s="19">
        <f t="shared" si="3"/>
        <v>0</v>
      </c>
      <c r="D18" s="19">
        <f t="shared" si="4"/>
        <v>4</v>
      </c>
      <c r="E18" s="19">
        <f t="shared" si="5"/>
        <v>1</v>
      </c>
      <c r="F18" s="19">
        <f t="shared" si="6"/>
        <v>1</v>
      </c>
      <c r="G18" s="20">
        <f t="shared" si="7"/>
        <v>0</v>
      </c>
      <c r="H18" s="20">
        <f t="shared" si="8"/>
        <v>0.07272727273</v>
      </c>
      <c r="I18" s="20">
        <f t="shared" si="9"/>
        <v>0.01818181818</v>
      </c>
      <c r="J18" s="21">
        <f t="shared" si="10"/>
        <v>0.01818181818</v>
      </c>
      <c r="K18" s="5"/>
      <c r="L18" s="5"/>
      <c r="M18" s="5"/>
      <c r="N18" s="5"/>
      <c r="O18" s="5"/>
      <c r="P18" s="5"/>
      <c r="Q18" s="5"/>
      <c r="R18" s="5"/>
      <c r="S18" s="5"/>
    </row>
    <row r="19">
      <c r="A19" s="17" t="s">
        <v>38</v>
      </c>
      <c r="B19" s="18">
        <f t="shared" si="2"/>
        <v>52</v>
      </c>
      <c r="C19" s="19">
        <f t="shared" si="3"/>
        <v>4</v>
      </c>
      <c r="D19" s="19">
        <f t="shared" si="4"/>
        <v>1</v>
      </c>
      <c r="E19" s="19">
        <f t="shared" si="5"/>
        <v>1</v>
      </c>
      <c r="F19" s="19">
        <f t="shared" si="6"/>
        <v>10</v>
      </c>
      <c r="G19" s="20">
        <f t="shared" si="7"/>
        <v>0.07692307692</v>
      </c>
      <c r="H19" s="20">
        <f t="shared" si="8"/>
        <v>0.01923076923</v>
      </c>
      <c r="I19" s="20">
        <f t="shared" si="9"/>
        <v>0.01923076923</v>
      </c>
      <c r="J19" s="21">
        <f t="shared" si="10"/>
        <v>0.1923076923</v>
      </c>
      <c r="K19" s="5"/>
      <c r="L19" s="5"/>
      <c r="M19" s="5"/>
      <c r="N19" s="5"/>
      <c r="O19" s="5"/>
      <c r="P19" s="5"/>
      <c r="Q19" s="5"/>
      <c r="R19" s="5"/>
      <c r="S19" s="5"/>
    </row>
    <row r="20">
      <c r="A20" s="17" t="s">
        <v>39</v>
      </c>
      <c r="B20" s="18">
        <f t="shared" si="2"/>
        <v>44</v>
      </c>
      <c r="C20" s="19">
        <f t="shared" si="3"/>
        <v>1</v>
      </c>
      <c r="D20" s="19">
        <f t="shared" si="4"/>
        <v>2</v>
      </c>
      <c r="E20" s="19">
        <f t="shared" si="5"/>
        <v>7</v>
      </c>
      <c r="F20" s="19">
        <f t="shared" si="6"/>
        <v>4</v>
      </c>
      <c r="G20" s="20">
        <f t="shared" si="7"/>
        <v>0.02272727273</v>
      </c>
      <c r="H20" s="20">
        <f t="shared" si="8"/>
        <v>0.04545454545</v>
      </c>
      <c r="I20" s="20">
        <f t="shared" si="9"/>
        <v>0.1590909091</v>
      </c>
      <c r="J20" s="21">
        <f t="shared" si="10"/>
        <v>0.09090909091</v>
      </c>
      <c r="K20" s="5"/>
      <c r="L20" s="5"/>
      <c r="M20" s="5"/>
      <c r="N20" s="5"/>
      <c r="O20" s="5"/>
      <c r="P20" s="5"/>
      <c r="Q20" s="5"/>
      <c r="R20" s="5"/>
      <c r="S20" s="5"/>
    </row>
    <row r="21">
      <c r="A21" s="17" t="s">
        <v>40</v>
      </c>
      <c r="B21" s="18">
        <f t="shared" si="2"/>
        <v>50</v>
      </c>
      <c r="C21" s="19">
        <f t="shared" si="3"/>
        <v>3</v>
      </c>
      <c r="D21" s="19">
        <f t="shared" si="4"/>
        <v>3</v>
      </c>
      <c r="E21" s="19">
        <f t="shared" si="5"/>
        <v>4</v>
      </c>
      <c r="F21" s="19">
        <f t="shared" si="6"/>
        <v>8</v>
      </c>
      <c r="G21" s="20">
        <f t="shared" si="7"/>
        <v>0.06</v>
      </c>
      <c r="H21" s="20">
        <f t="shared" si="8"/>
        <v>0.06</v>
      </c>
      <c r="I21" s="20">
        <f t="shared" si="9"/>
        <v>0.08</v>
      </c>
      <c r="J21" s="21">
        <f t="shared" si="10"/>
        <v>0.16</v>
      </c>
      <c r="K21" s="5"/>
      <c r="L21" s="5"/>
      <c r="M21" s="5"/>
      <c r="N21" s="5"/>
      <c r="O21" s="5"/>
      <c r="P21" s="5"/>
      <c r="Q21" s="5"/>
      <c r="R21" s="5"/>
      <c r="S21" s="5"/>
    </row>
    <row r="22">
      <c r="A22" s="17" t="s">
        <v>41</v>
      </c>
      <c r="B22" s="18">
        <f t="shared" si="2"/>
        <v>20</v>
      </c>
      <c r="C22" s="19">
        <f t="shared" si="3"/>
        <v>0</v>
      </c>
      <c r="D22" s="19">
        <f t="shared" si="4"/>
        <v>1</v>
      </c>
      <c r="E22" s="19">
        <f t="shared" si="5"/>
        <v>1</v>
      </c>
      <c r="F22" s="19">
        <f t="shared" si="6"/>
        <v>1</v>
      </c>
      <c r="G22" s="20">
        <f t="shared" si="7"/>
        <v>0</v>
      </c>
      <c r="H22" s="20">
        <f t="shared" si="8"/>
        <v>0.05</v>
      </c>
      <c r="I22" s="20">
        <f t="shared" si="9"/>
        <v>0.05</v>
      </c>
      <c r="J22" s="21">
        <f t="shared" si="10"/>
        <v>0.05</v>
      </c>
      <c r="K22" s="5"/>
      <c r="L22" s="5"/>
      <c r="M22" s="5"/>
      <c r="N22" s="5"/>
      <c r="O22" s="5"/>
      <c r="P22" s="5"/>
      <c r="Q22" s="5"/>
      <c r="R22" s="5"/>
      <c r="S22" s="5"/>
    </row>
    <row r="23">
      <c r="A23" s="17" t="s">
        <v>42</v>
      </c>
      <c r="B23" s="18">
        <f t="shared" si="2"/>
        <v>11</v>
      </c>
      <c r="C23" s="19">
        <f t="shared" si="3"/>
        <v>0</v>
      </c>
      <c r="D23" s="19">
        <f t="shared" si="4"/>
        <v>0</v>
      </c>
      <c r="E23" s="19">
        <f t="shared" si="5"/>
        <v>1</v>
      </c>
      <c r="F23" s="19">
        <f t="shared" si="6"/>
        <v>1</v>
      </c>
      <c r="G23" s="20">
        <f t="shared" si="7"/>
        <v>0</v>
      </c>
      <c r="H23" s="20">
        <f t="shared" si="8"/>
        <v>0</v>
      </c>
      <c r="I23" s="20">
        <f t="shared" si="9"/>
        <v>0.09090909091</v>
      </c>
      <c r="J23" s="21">
        <f t="shared" si="10"/>
        <v>0.09090909091</v>
      </c>
      <c r="K23" s="5"/>
      <c r="L23" s="5"/>
      <c r="M23" s="5"/>
      <c r="N23" s="5"/>
      <c r="O23" s="5"/>
      <c r="P23" s="5"/>
      <c r="Q23" s="5"/>
      <c r="R23" s="5"/>
      <c r="S23" s="5"/>
    </row>
    <row r="24">
      <c r="A24" s="17" t="s">
        <v>43</v>
      </c>
      <c r="B24" s="18">
        <f t="shared" si="2"/>
        <v>12</v>
      </c>
      <c r="C24" s="19">
        <f t="shared" si="3"/>
        <v>0</v>
      </c>
      <c r="D24" s="19">
        <f t="shared" si="4"/>
        <v>1</v>
      </c>
      <c r="E24" s="19">
        <f t="shared" si="5"/>
        <v>0</v>
      </c>
      <c r="F24" s="19">
        <f t="shared" si="6"/>
        <v>0</v>
      </c>
      <c r="G24" s="20">
        <f t="shared" si="7"/>
        <v>0</v>
      </c>
      <c r="H24" s="20">
        <f t="shared" si="8"/>
        <v>0.08333333333</v>
      </c>
      <c r="I24" s="20">
        <f t="shared" si="9"/>
        <v>0</v>
      </c>
      <c r="J24" s="21">
        <f t="shared" si="10"/>
        <v>0</v>
      </c>
      <c r="K24" s="5"/>
      <c r="L24" s="5"/>
      <c r="M24" s="5"/>
      <c r="N24" s="5"/>
      <c r="O24" s="5"/>
      <c r="P24" s="5"/>
      <c r="Q24" s="5"/>
      <c r="R24" s="5"/>
      <c r="S24" s="5"/>
    </row>
    <row r="25">
      <c r="A25" s="31" t="s">
        <v>44</v>
      </c>
      <c r="B25" s="32">
        <f t="shared" si="2"/>
        <v>8</v>
      </c>
      <c r="C25" s="33">
        <f t="shared" si="3"/>
        <v>1</v>
      </c>
      <c r="D25" s="33">
        <f t="shared" si="4"/>
        <v>0</v>
      </c>
      <c r="E25" s="33">
        <f t="shared" si="5"/>
        <v>0</v>
      </c>
      <c r="F25" s="33">
        <f t="shared" si="6"/>
        <v>3</v>
      </c>
      <c r="G25" s="34">
        <f t="shared" si="7"/>
        <v>0.125</v>
      </c>
      <c r="H25" s="34">
        <f t="shared" si="8"/>
        <v>0</v>
      </c>
      <c r="I25" s="34">
        <f t="shared" si="9"/>
        <v>0</v>
      </c>
      <c r="J25" s="35">
        <f t="shared" si="10"/>
        <v>0.375</v>
      </c>
      <c r="K25" s="5"/>
      <c r="L25" s="5"/>
      <c r="M25" s="5"/>
      <c r="N25" s="5"/>
      <c r="O25" s="5"/>
      <c r="P25" s="5"/>
      <c r="Q25" s="5"/>
      <c r="R25" s="5"/>
      <c r="S25" s="5"/>
    </row>
    <row r="26">
      <c r="A26" s="36"/>
      <c r="B26" s="23"/>
      <c r="C26" s="37"/>
      <c r="D26" s="19"/>
      <c r="E26" s="23"/>
      <c r="F26" s="23"/>
      <c r="G26" s="19"/>
      <c r="H26" s="19"/>
      <c r="I26" s="19"/>
      <c r="J26" s="19"/>
    </row>
    <row r="27">
      <c r="A27" s="36"/>
      <c r="B27" s="23"/>
      <c r="C27" s="38"/>
      <c r="E27" s="23"/>
      <c r="F27" s="23"/>
      <c r="G27" s="19"/>
      <c r="H27" s="19"/>
      <c r="I27" s="19"/>
      <c r="J27" s="19"/>
    </row>
  </sheetData>
  <mergeCells count="2">
    <mergeCell ref="B1:J1"/>
    <mergeCell ref="L1:R1"/>
  </mergeCell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45</v>
      </c>
      <c r="B1" s="40" t="s">
        <v>2</v>
      </c>
      <c r="C1" s="40" t="s">
        <v>3</v>
      </c>
      <c r="D1" s="40" t="s">
        <v>4</v>
      </c>
      <c r="E1" s="40" t="s">
        <v>5</v>
      </c>
      <c r="F1" s="41" t="s">
        <v>46</v>
      </c>
    </row>
    <row r="2">
      <c r="A2" s="42" t="s">
        <v>17</v>
      </c>
      <c r="B2" s="43">
        <v>9.0</v>
      </c>
      <c r="C2" s="43">
        <v>1.0</v>
      </c>
      <c r="D2" s="43">
        <v>0.0</v>
      </c>
      <c r="E2" s="43">
        <v>0.0</v>
      </c>
      <c r="F2" s="44">
        <v>2.0</v>
      </c>
    </row>
    <row r="3">
      <c r="A3" s="45" t="s">
        <v>19</v>
      </c>
      <c r="B3" s="46">
        <v>7.0</v>
      </c>
      <c r="C3" s="46">
        <v>0.0</v>
      </c>
      <c r="D3" s="46">
        <v>0.0</v>
      </c>
      <c r="E3" s="46">
        <v>0.0</v>
      </c>
      <c r="F3" s="47">
        <v>2.0</v>
      </c>
    </row>
    <row r="4">
      <c r="A4" s="45" t="s">
        <v>21</v>
      </c>
      <c r="B4" s="46">
        <v>10.0</v>
      </c>
      <c r="C4" s="46">
        <v>0.0</v>
      </c>
      <c r="D4" s="46">
        <v>0.0</v>
      </c>
      <c r="E4" s="46">
        <v>1.0</v>
      </c>
      <c r="F4" s="47">
        <v>1.0</v>
      </c>
    </row>
    <row r="5">
      <c r="A5" s="45" t="s">
        <v>23</v>
      </c>
      <c r="B5" s="46">
        <v>12.0</v>
      </c>
      <c r="C5" s="46">
        <v>2.0</v>
      </c>
      <c r="D5" s="46">
        <v>1.0</v>
      </c>
      <c r="E5" s="46">
        <v>1.0</v>
      </c>
      <c r="F5" s="47">
        <v>1.0</v>
      </c>
    </row>
    <row r="6">
      <c r="A6" s="45" t="s">
        <v>24</v>
      </c>
      <c r="B6" s="46">
        <v>9.0</v>
      </c>
      <c r="C6" s="46">
        <v>0.0</v>
      </c>
      <c r="D6" s="46">
        <v>1.0</v>
      </c>
      <c r="E6" s="46">
        <v>0.0</v>
      </c>
      <c r="F6" s="47">
        <v>0.0</v>
      </c>
    </row>
    <row r="7">
      <c r="A7" s="45" t="s">
        <v>25</v>
      </c>
      <c r="B7" s="46">
        <v>11.0</v>
      </c>
      <c r="C7" s="46">
        <v>0.0</v>
      </c>
      <c r="D7" s="46">
        <v>1.0</v>
      </c>
      <c r="E7" s="46">
        <v>0.0</v>
      </c>
      <c r="F7" s="47">
        <v>0.0</v>
      </c>
    </row>
    <row r="8">
      <c r="A8" s="45" t="s">
        <v>27</v>
      </c>
      <c r="B8" s="46">
        <v>9.0</v>
      </c>
      <c r="C8" s="46">
        <v>1.0</v>
      </c>
      <c r="D8" s="46">
        <v>2.0</v>
      </c>
      <c r="E8" s="46">
        <v>0.0</v>
      </c>
      <c r="F8" s="47">
        <v>0.0</v>
      </c>
    </row>
    <row r="9">
      <c r="A9" s="45" t="s">
        <v>28</v>
      </c>
      <c r="B9" s="46">
        <v>11.0</v>
      </c>
      <c r="C9" s="46">
        <v>2.0</v>
      </c>
      <c r="D9" s="46">
        <v>3.0</v>
      </c>
      <c r="E9" s="46">
        <v>0.0</v>
      </c>
      <c r="F9" s="47">
        <v>3.0</v>
      </c>
    </row>
    <row r="10">
      <c r="A10" s="45" t="s">
        <v>30</v>
      </c>
      <c r="B10" s="46">
        <v>2.0</v>
      </c>
      <c r="C10" s="46">
        <v>1.0</v>
      </c>
      <c r="D10" s="46">
        <v>0.0</v>
      </c>
      <c r="E10" s="46">
        <v>0.0</v>
      </c>
      <c r="F10" s="47">
        <v>0.0</v>
      </c>
    </row>
    <row r="11">
      <c r="A11" s="45" t="s">
        <v>31</v>
      </c>
      <c r="B11" s="46">
        <v>1.0</v>
      </c>
      <c r="C11" s="46">
        <v>1.0</v>
      </c>
      <c r="D11" s="46">
        <v>0.0</v>
      </c>
      <c r="E11" s="46">
        <v>0.0</v>
      </c>
      <c r="F11" s="47">
        <v>0.0</v>
      </c>
    </row>
    <row r="12">
      <c r="A12" s="45" t="s">
        <v>32</v>
      </c>
      <c r="B12" s="46">
        <v>0.0</v>
      </c>
      <c r="C12" s="46">
        <v>0.0</v>
      </c>
      <c r="D12" s="46">
        <v>0.0</v>
      </c>
      <c r="E12" s="46">
        <v>0.0</v>
      </c>
      <c r="F12" s="47">
        <v>0.0</v>
      </c>
    </row>
    <row r="13">
      <c r="A13" s="45" t="s">
        <v>33</v>
      </c>
      <c r="B13" s="46">
        <v>7.0</v>
      </c>
      <c r="C13" s="46">
        <v>0.0</v>
      </c>
      <c r="D13" s="46">
        <v>0.0</v>
      </c>
      <c r="E13" s="46">
        <v>0.0</v>
      </c>
      <c r="F13" s="47">
        <v>1.0</v>
      </c>
    </row>
    <row r="14">
      <c r="A14" s="45" t="s">
        <v>34</v>
      </c>
      <c r="B14" s="46"/>
      <c r="C14" s="46"/>
      <c r="D14" s="46"/>
      <c r="E14" s="46"/>
      <c r="F14" s="47"/>
    </row>
    <row r="15">
      <c r="A15" s="45" t="s">
        <v>35</v>
      </c>
      <c r="B15" s="46">
        <v>10.0</v>
      </c>
      <c r="C15" s="46">
        <v>0.0</v>
      </c>
      <c r="D15" s="46">
        <v>1.0</v>
      </c>
      <c r="E15" s="46">
        <v>0.0</v>
      </c>
      <c r="F15" s="47">
        <v>0.0</v>
      </c>
    </row>
    <row r="16">
      <c r="A16" s="45" t="s">
        <v>36</v>
      </c>
      <c r="B16" s="46">
        <v>11.0</v>
      </c>
      <c r="C16" s="46">
        <v>1.0</v>
      </c>
      <c r="D16" s="46">
        <v>2.0</v>
      </c>
      <c r="E16" s="46">
        <v>1.0</v>
      </c>
      <c r="F16" s="47">
        <v>1.0</v>
      </c>
    </row>
    <row r="17">
      <c r="A17" s="45" t="s">
        <v>37</v>
      </c>
      <c r="B17" s="46">
        <v>11.0</v>
      </c>
      <c r="C17" s="46">
        <v>0.0</v>
      </c>
      <c r="D17" s="46">
        <v>1.0</v>
      </c>
      <c r="E17" s="46">
        <v>0.0</v>
      </c>
      <c r="F17" s="47">
        <v>1.0</v>
      </c>
    </row>
    <row r="18">
      <c r="A18" s="45" t="s">
        <v>38</v>
      </c>
      <c r="B18" s="46">
        <v>12.0</v>
      </c>
      <c r="C18" s="46">
        <v>2.0</v>
      </c>
      <c r="D18" s="46">
        <v>0.0</v>
      </c>
      <c r="E18" s="46">
        <v>0.0</v>
      </c>
      <c r="F18" s="47">
        <v>0.0</v>
      </c>
    </row>
    <row r="19">
      <c r="A19" s="45" t="s">
        <v>39</v>
      </c>
      <c r="B19" s="46">
        <v>9.0</v>
      </c>
      <c r="C19" s="46">
        <v>0.0</v>
      </c>
      <c r="D19" s="46">
        <v>0.0</v>
      </c>
      <c r="E19" s="46">
        <v>1.0</v>
      </c>
      <c r="F19" s="47">
        <v>0.0</v>
      </c>
    </row>
    <row r="20">
      <c r="A20" s="45" t="s">
        <v>40</v>
      </c>
      <c r="B20" s="46">
        <v>11.0</v>
      </c>
      <c r="C20" s="46">
        <v>1.0</v>
      </c>
      <c r="D20" s="46">
        <v>0.0</v>
      </c>
      <c r="E20" s="46">
        <v>1.0</v>
      </c>
      <c r="F20" s="47">
        <v>1.0</v>
      </c>
    </row>
    <row r="21">
      <c r="A21" s="45" t="s">
        <v>41</v>
      </c>
      <c r="B21" s="46">
        <v>4.0</v>
      </c>
      <c r="C21" s="46">
        <v>0.0</v>
      </c>
      <c r="D21" s="46">
        <v>0.0</v>
      </c>
      <c r="E21" s="46">
        <v>1.0</v>
      </c>
      <c r="F21" s="47">
        <v>0.0</v>
      </c>
    </row>
    <row r="22">
      <c r="A22" s="45" t="s">
        <v>42</v>
      </c>
      <c r="B22" s="46">
        <v>2.0</v>
      </c>
      <c r="C22" s="46">
        <v>0.0</v>
      </c>
      <c r="D22" s="46">
        <v>0.0</v>
      </c>
      <c r="E22" s="46">
        <v>0.0</v>
      </c>
      <c r="F22" s="47">
        <v>0.0</v>
      </c>
    </row>
    <row r="23">
      <c r="A23" s="45" t="s">
        <v>43</v>
      </c>
      <c r="B23" s="46">
        <v>3.0</v>
      </c>
      <c r="C23" s="46">
        <v>0.0</v>
      </c>
      <c r="D23" s="46">
        <v>0.0</v>
      </c>
      <c r="E23" s="46">
        <v>0.0</v>
      </c>
      <c r="F23" s="47">
        <v>0.0</v>
      </c>
    </row>
    <row r="24">
      <c r="A24" s="48" t="s">
        <v>44</v>
      </c>
      <c r="B24" s="49">
        <v>0.0</v>
      </c>
      <c r="C24" s="49">
        <v>0.0</v>
      </c>
      <c r="D24" s="49">
        <v>0.0</v>
      </c>
      <c r="E24" s="49">
        <v>0.0</v>
      </c>
      <c r="F24" s="50">
        <v>0.0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45</v>
      </c>
      <c r="B1" s="40" t="s">
        <v>2</v>
      </c>
      <c r="C1" s="40" t="s">
        <v>3</v>
      </c>
      <c r="D1" s="40" t="s">
        <v>4</v>
      </c>
      <c r="E1" s="40" t="s">
        <v>5</v>
      </c>
      <c r="F1" s="41" t="s">
        <v>46</v>
      </c>
    </row>
    <row r="2">
      <c r="A2" s="42" t="s">
        <v>17</v>
      </c>
      <c r="B2" s="43">
        <v>7.0</v>
      </c>
      <c r="C2" s="43">
        <v>0.0</v>
      </c>
      <c r="D2" s="43">
        <v>0.0</v>
      </c>
      <c r="E2" s="43">
        <v>0.0</v>
      </c>
      <c r="F2" s="44">
        <v>1.0</v>
      </c>
    </row>
    <row r="3">
      <c r="A3" s="45" t="s">
        <v>19</v>
      </c>
      <c r="B3" s="46">
        <v>7.0</v>
      </c>
      <c r="C3" s="46">
        <v>1.0</v>
      </c>
      <c r="D3" s="46">
        <v>0.0</v>
      </c>
      <c r="E3" s="46">
        <v>0.0</v>
      </c>
      <c r="F3" s="47">
        <v>1.0</v>
      </c>
    </row>
    <row r="4">
      <c r="A4" s="45" t="s">
        <v>21</v>
      </c>
      <c r="B4" s="46">
        <v>8.0</v>
      </c>
      <c r="C4" s="46">
        <v>1.0</v>
      </c>
      <c r="D4" s="46">
        <v>0.0</v>
      </c>
      <c r="E4" s="46">
        <v>0.0</v>
      </c>
      <c r="F4" s="47">
        <v>0.0</v>
      </c>
    </row>
    <row r="5">
      <c r="A5" s="45" t="s">
        <v>23</v>
      </c>
      <c r="B5" s="46">
        <v>8.0</v>
      </c>
      <c r="C5" s="46">
        <v>1.0</v>
      </c>
      <c r="D5" s="46">
        <v>0.0</v>
      </c>
      <c r="E5" s="46">
        <v>2.0</v>
      </c>
      <c r="F5" s="47">
        <v>2.0</v>
      </c>
    </row>
    <row r="6">
      <c r="A6" s="45" t="s">
        <v>24</v>
      </c>
      <c r="B6" s="46">
        <v>9.0</v>
      </c>
      <c r="C6" s="46">
        <v>1.0</v>
      </c>
      <c r="D6" s="46">
        <v>1.0</v>
      </c>
      <c r="E6" s="46">
        <v>0.0</v>
      </c>
      <c r="F6" s="47">
        <v>2.0</v>
      </c>
    </row>
    <row r="7">
      <c r="A7" s="45" t="s">
        <v>25</v>
      </c>
      <c r="B7" s="46">
        <v>7.0</v>
      </c>
      <c r="C7" s="46">
        <v>0.0</v>
      </c>
      <c r="D7" s="46">
        <v>0.0</v>
      </c>
      <c r="E7" s="46">
        <v>0.0</v>
      </c>
      <c r="F7" s="47">
        <v>1.0</v>
      </c>
    </row>
    <row r="8">
      <c r="A8" s="45" t="s">
        <v>27</v>
      </c>
      <c r="B8" s="46">
        <v>7.0</v>
      </c>
      <c r="C8" s="46">
        <v>0.0</v>
      </c>
      <c r="D8" s="46">
        <v>0.0</v>
      </c>
      <c r="E8" s="46">
        <v>0.0</v>
      </c>
      <c r="F8" s="47">
        <v>2.0</v>
      </c>
    </row>
    <row r="9">
      <c r="A9" s="45" t="s">
        <v>28</v>
      </c>
      <c r="B9" s="46">
        <v>8.0</v>
      </c>
      <c r="C9" s="46">
        <v>0.0</v>
      </c>
      <c r="D9" s="46">
        <v>2.0</v>
      </c>
      <c r="E9" s="46">
        <v>0.0</v>
      </c>
      <c r="F9" s="47">
        <v>0.0</v>
      </c>
    </row>
    <row r="10">
      <c r="A10" s="45" t="s">
        <v>30</v>
      </c>
      <c r="B10" s="46">
        <v>5.0</v>
      </c>
      <c r="C10" s="46">
        <v>0.0</v>
      </c>
      <c r="D10" s="46">
        <v>1.0</v>
      </c>
      <c r="E10" s="46">
        <v>0.0</v>
      </c>
      <c r="F10" s="47">
        <v>0.0</v>
      </c>
    </row>
    <row r="11">
      <c r="A11" s="45" t="s">
        <v>31</v>
      </c>
      <c r="B11" s="46">
        <v>4.0</v>
      </c>
      <c r="C11" s="46">
        <v>0.0</v>
      </c>
      <c r="D11" s="46">
        <v>0.0</v>
      </c>
      <c r="E11" s="46">
        <v>0.0</v>
      </c>
      <c r="F11" s="47">
        <v>0.0</v>
      </c>
    </row>
    <row r="12">
      <c r="A12" s="45" t="s">
        <v>32</v>
      </c>
      <c r="B12" s="46">
        <v>2.0</v>
      </c>
      <c r="C12" s="46">
        <v>0.0</v>
      </c>
      <c r="D12" s="46">
        <v>0.0</v>
      </c>
      <c r="E12" s="46">
        <v>0.0</v>
      </c>
      <c r="F12" s="47">
        <v>0.0</v>
      </c>
    </row>
    <row r="13">
      <c r="A13" s="45" t="s">
        <v>33</v>
      </c>
      <c r="B13" s="46">
        <v>6.0</v>
      </c>
      <c r="C13" s="46">
        <v>0.0</v>
      </c>
      <c r="D13" s="46">
        <v>0.0</v>
      </c>
      <c r="E13" s="46">
        <v>0.0</v>
      </c>
      <c r="F13" s="47">
        <v>1.0</v>
      </c>
    </row>
    <row r="14">
      <c r="A14" s="45" t="s">
        <v>34</v>
      </c>
      <c r="B14" s="46"/>
      <c r="C14" s="46"/>
      <c r="D14" s="46"/>
      <c r="E14" s="46"/>
      <c r="F14" s="47"/>
    </row>
    <row r="15">
      <c r="A15" s="45" t="s">
        <v>35</v>
      </c>
      <c r="B15" s="46">
        <v>6.0</v>
      </c>
      <c r="C15" s="46">
        <v>0.0</v>
      </c>
      <c r="D15" s="46">
        <v>0.0</v>
      </c>
      <c r="E15" s="46">
        <v>0.0</v>
      </c>
      <c r="F15" s="47">
        <v>0.0</v>
      </c>
    </row>
    <row r="16">
      <c r="A16" s="45" t="s">
        <v>36</v>
      </c>
      <c r="B16" s="46">
        <v>7.0</v>
      </c>
      <c r="C16" s="46">
        <v>1.0</v>
      </c>
      <c r="D16" s="46">
        <v>0.0</v>
      </c>
      <c r="E16" s="46">
        <v>0.0</v>
      </c>
      <c r="F16" s="47">
        <v>0.0</v>
      </c>
    </row>
    <row r="17">
      <c r="A17" s="45" t="s">
        <v>37</v>
      </c>
      <c r="B17" s="46">
        <v>9.0</v>
      </c>
      <c r="C17" s="46">
        <v>0.0</v>
      </c>
      <c r="D17" s="46">
        <v>0.0</v>
      </c>
      <c r="E17" s="46">
        <v>1.0</v>
      </c>
      <c r="F17" s="47">
        <v>0.0</v>
      </c>
    </row>
    <row r="18">
      <c r="A18" s="45" t="s">
        <v>38</v>
      </c>
      <c r="B18" s="46">
        <v>8.0</v>
      </c>
      <c r="C18" s="46">
        <v>0.0</v>
      </c>
      <c r="D18" s="46">
        <v>0.0</v>
      </c>
      <c r="E18" s="46">
        <v>0.0</v>
      </c>
      <c r="F18" s="47">
        <v>3.0</v>
      </c>
    </row>
    <row r="19">
      <c r="A19" s="45" t="s">
        <v>39</v>
      </c>
      <c r="B19" s="46">
        <v>7.0</v>
      </c>
      <c r="C19" s="46">
        <v>1.0</v>
      </c>
      <c r="D19" s="46">
        <v>1.0</v>
      </c>
      <c r="E19" s="46">
        <v>1.0</v>
      </c>
      <c r="F19" s="47">
        <v>0.0</v>
      </c>
    </row>
    <row r="20">
      <c r="A20" s="45" t="s">
        <v>40</v>
      </c>
      <c r="B20" s="46">
        <v>8.0</v>
      </c>
      <c r="C20" s="46">
        <v>0.0</v>
      </c>
      <c r="D20" s="46">
        <v>1.0</v>
      </c>
      <c r="E20" s="46">
        <v>0.0</v>
      </c>
      <c r="F20" s="47">
        <v>0.0</v>
      </c>
    </row>
    <row r="21">
      <c r="A21" s="45" t="s">
        <v>41</v>
      </c>
      <c r="B21" s="46">
        <v>3.0</v>
      </c>
      <c r="C21" s="46">
        <v>0.0</v>
      </c>
      <c r="D21" s="46">
        <v>0.0</v>
      </c>
      <c r="E21" s="46">
        <v>0.0</v>
      </c>
      <c r="F21" s="47">
        <v>0.0</v>
      </c>
    </row>
    <row r="22">
      <c r="A22" s="45" t="s">
        <v>42</v>
      </c>
      <c r="B22" s="46">
        <v>2.0</v>
      </c>
      <c r="C22" s="46">
        <v>0.0</v>
      </c>
      <c r="D22" s="46">
        <v>0.0</v>
      </c>
      <c r="E22" s="46">
        <v>1.0</v>
      </c>
      <c r="F22" s="47">
        <v>0.0</v>
      </c>
    </row>
    <row r="23">
      <c r="A23" s="45" t="s">
        <v>43</v>
      </c>
      <c r="B23" s="46">
        <v>4.0</v>
      </c>
      <c r="C23" s="46">
        <v>0.0</v>
      </c>
      <c r="D23" s="46">
        <v>0.0</v>
      </c>
      <c r="E23" s="46">
        <v>0.0</v>
      </c>
      <c r="F23" s="47">
        <v>0.0</v>
      </c>
    </row>
    <row r="24">
      <c r="A24" s="48" t="s">
        <v>44</v>
      </c>
      <c r="B24" s="49">
        <v>2.0</v>
      </c>
      <c r="C24" s="49">
        <v>0.0</v>
      </c>
      <c r="D24" s="49">
        <v>0.0</v>
      </c>
      <c r="E24" s="49">
        <v>0.0</v>
      </c>
      <c r="F24" s="50">
        <v>0.0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45</v>
      </c>
      <c r="B1" s="40" t="s">
        <v>2</v>
      </c>
      <c r="C1" s="40" t="s">
        <v>3</v>
      </c>
      <c r="D1" s="40" t="s">
        <v>4</v>
      </c>
      <c r="E1" s="40" t="s">
        <v>5</v>
      </c>
      <c r="F1" s="41" t="s">
        <v>46</v>
      </c>
    </row>
    <row r="2">
      <c r="A2" s="42" t="s">
        <v>17</v>
      </c>
      <c r="B2" s="43">
        <v>6.0</v>
      </c>
      <c r="C2" s="43">
        <v>0.0</v>
      </c>
      <c r="D2" s="43">
        <v>0.0</v>
      </c>
      <c r="E2" s="43">
        <v>0.0</v>
      </c>
      <c r="F2" s="44">
        <v>2.0</v>
      </c>
    </row>
    <row r="3">
      <c r="A3" s="45" t="s">
        <v>19</v>
      </c>
      <c r="B3" s="46">
        <v>6.0</v>
      </c>
      <c r="C3" s="46">
        <v>0.0</v>
      </c>
      <c r="D3" s="46">
        <v>1.0</v>
      </c>
      <c r="E3" s="46">
        <v>0.0</v>
      </c>
      <c r="F3" s="47">
        <v>0.0</v>
      </c>
    </row>
    <row r="4">
      <c r="A4" s="45" t="s">
        <v>21</v>
      </c>
      <c r="B4" s="46">
        <v>5.0</v>
      </c>
      <c r="C4" s="46">
        <v>0.0</v>
      </c>
      <c r="D4" s="46">
        <v>1.0</v>
      </c>
      <c r="E4" s="46">
        <v>0.0</v>
      </c>
      <c r="F4" s="47">
        <v>1.0</v>
      </c>
    </row>
    <row r="5">
      <c r="A5" s="45" t="s">
        <v>23</v>
      </c>
      <c r="B5" s="46">
        <v>6.0</v>
      </c>
      <c r="C5" s="46">
        <v>3.0</v>
      </c>
      <c r="D5" s="46">
        <v>0.0</v>
      </c>
      <c r="E5" s="46">
        <v>1.0</v>
      </c>
      <c r="F5" s="47">
        <v>1.0</v>
      </c>
    </row>
    <row r="6">
      <c r="A6" s="45" t="s">
        <v>24</v>
      </c>
      <c r="B6" s="46">
        <v>6.0</v>
      </c>
      <c r="C6" s="46">
        <v>0.0</v>
      </c>
      <c r="D6" s="46">
        <v>0.0</v>
      </c>
      <c r="E6" s="46">
        <v>1.0</v>
      </c>
      <c r="F6" s="47">
        <v>0.0</v>
      </c>
    </row>
    <row r="7">
      <c r="A7" s="45" t="s">
        <v>25</v>
      </c>
      <c r="B7" s="46">
        <v>8.0</v>
      </c>
      <c r="C7" s="46">
        <v>1.0</v>
      </c>
      <c r="D7" s="46">
        <v>1.0</v>
      </c>
      <c r="E7" s="46">
        <v>0.0</v>
      </c>
      <c r="F7" s="47">
        <v>0.0</v>
      </c>
    </row>
    <row r="8">
      <c r="A8" s="45" t="s">
        <v>27</v>
      </c>
      <c r="B8" s="46">
        <v>7.0</v>
      </c>
      <c r="C8" s="46">
        <v>0.0</v>
      </c>
      <c r="D8" s="46">
        <v>0.0</v>
      </c>
      <c r="E8" s="46">
        <v>1.0</v>
      </c>
      <c r="F8" s="47">
        <v>1.0</v>
      </c>
    </row>
    <row r="9">
      <c r="A9" s="45" t="s">
        <v>28</v>
      </c>
      <c r="B9" s="46">
        <v>6.0</v>
      </c>
      <c r="C9" s="46">
        <v>0.0</v>
      </c>
      <c r="D9" s="46">
        <v>2.0</v>
      </c>
      <c r="E9" s="46">
        <v>0.0</v>
      </c>
      <c r="F9" s="47">
        <v>0.0</v>
      </c>
    </row>
    <row r="10">
      <c r="A10" s="45" t="s">
        <v>30</v>
      </c>
      <c r="B10" s="46">
        <v>5.0</v>
      </c>
      <c r="C10" s="46">
        <v>1.0</v>
      </c>
      <c r="D10" s="46">
        <v>0.0</v>
      </c>
      <c r="E10" s="46">
        <v>0.0</v>
      </c>
      <c r="F10" s="47">
        <v>1.0</v>
      </c>
    </row>
    <row r="11">
      <c r="A11" s="45" t="s">
        <v>31</v>
      </c>
      <c r="B11" s="46">
        <v>5.0</v>
      </c>
      <c r="C11" s="46">
        <v>1.0</v>
      </c>
      <c r="D11" s="46">
        <v>1.0</v>
      </c>
      <c r="E11" s="46">
        <v>0.0</v>
      </c>
      <c r="F11" s="47">
        <v>1.0</v>
      </c>
    </row>
    <row r="12">
      <c r="A12" s="45" t="s">
        <v>32</v>
      </c>
      <c r="B12" s="46">
        <v>4.0</v>
      </c>
      <c r="C12" s="46">
        <v>1.0</v>
      </c>
      <c r="D12" s="46">
        <v>0.0</v>
      </c>
      <c r="E12" s="46">
        <v>1.0</v>
      </c>
      <c r="F12" s="47">
        <v>4.0</v>
      </c>
    </row>
    <row r="13">
      <c r="A13" s="45" t="s">
        <v>33</v>
      </c>
      <c r="B13" s="46">
        <v>6.0</v>
      </c>
      <c r="C13" s="46">
        <v>1.0</v>
      </c>
      <c r="D13" s="46">
        <v>0.0</v>
      </c>
      <c r="E13" s="46">
        <v>1.0</v>
      </c>
      <c r="F13" s="47">
        <v>1.0</v>
      </c>
    </row>
    <row r="14">
      <c r="A14" s="45" t="s">
        <v>34</v>
      </c>
      <c r="B14" s="46"/>
      <c r="C14" s="46"/>
      <c r="D14" s="46"/>
      <c r="E14" s="46"/>
      <c r="F14" s="47"/>
    </row>
    <row r="15">
      <c r="A15" s="45" t="s">
        <v>35</v>
      </c>
      <c r="B15" s="46">
        <v>7.0</v>
      </c>
      <c r="C15" s="46">
        <v>0.0</v>
      </c>
      <c r="D15" s="46">
        <v>0.0</v>
      </c>
      <c r="E15" s="46">
        <v>0.0</v>
      </c>
      <c r="F15" s="47">
        <v>0.0</v>
      </c>
    </row>
    <row r="16">
      <c r="A16" s="45" t="s">
        <v>36</v>
      </c>
      <c r="B16" s="46">
        <v>8.0</v>
      </c>
      <c r="C16" s="46">
        <v>1.0</v>
      </c>
      <c r="D16" s="46">
        <v>0.0</v>
      </c>
      <c r="E16" s="46">
        <v>2.0</v>
      </c>
      <c r="F16" s="47">
        <v>1.0</v>
      </c>
    </row>
    <row r="17">
      <c r="A17" s="45" t="s">
        <v>37</v>
      </c>
      <c r="B17" s="46">
        <v>8.0</v>
      </c>
      <c r="C17" s="46">
        <v>0.0</v>
      </c>
      <c r="D17" s="46">
        <v>2.0</v>
      </c>
      <c r="E17" s="46">
        <v>0.0</v>
      </c>
      <c r="F17" s="47">
        <v>0.0</v>
      </c>
    </row>
    <row r="18">
      <c r="A18" s="45" t="s">
        <v>38</v>
      </c>
      <c r="B18" s="46">
        <v>8.0</v>
      </c>
      <c r="C18" s="46">
        <v>0.0</v>
      </c>
      <c r="D18" s="46">
        <v>1.0</v>
      </c>
      <c r="E18" s="46">
        <v>1.0</v>
      </c>
      <c r="F18" s="47">
        <v>0.0</v>
      </c>
    </row>
    <row r="19">
      <c r="A19" s="45" t="s">
        <v>39</v>
      </c>
      <c r="B19" s="46">
        <v>7.0</v>
      </c>
      <c r="C19" s="46">
        <v>0.0</v>
      </c>
      <c r="D19" s="46">
        <v>1.0</v>
      </c>
      <c r="E19" s="46">
        <v>0.0</v>
      </c>
      <c r="F19" s="47">
        <v>0.0</v>
      </c>
    </row>
    <row r="20">
      <c r="A20" s="45" t="s">
        <v>40</v>
      </c>
      <c r="B20" s="46">
        <v>8.0</v>
      </c>
      <c r="C20" s="46">
        <v>2.0</v>
      </c>
      <c r="D20" s="46">
        <v>1.0</v>
      </c>
      <c r="E20" s="46">
        <v>3.0</v>
      </c>
      <c r="F20" s="47">
        <v>3.0</v>
      </c>
    </row>
    <row r="21">
      <c r="A21" s="45" t="s">
        <v>41</v>
      </c>
      <c r="B21" s="46">
        <v>5.0</v>
      </c>
      <c r="C21" s="46">
        <v>0.0</v>
      </c>
      <c r="D21" s="46">
        <v>0.0</v>
      </c>
      <c r="E21" s="46">
        <v>0.0</v>
      </c>
      <c r="F21" s="47">
        <v>0.0</v>
      </c>
    </row>
    <row r="22">
      <c r="A22" s="45" t="s">
        <v>42</v>
      </c>
      <c r="B22" s="46">
        <v>4.0</v>
      </c>
      <c r="C22" s="46">
        <v>0.0</v>
      </c>
      <c r="D22" s="46">
        <v>0.0</v>
      </c>
      <c r="E22" s="46">
        <v>0.0</v>
      </c>
      <c r="F22" s="47">
        <v>0.0</v>
      </c>
    </row>
    <row r="23">
      <c r="A23" s="45" t="s">
        <v>43</v>
      </c>
      <c r="B23" s="46">
        <v>4.0</v>
      </c>
      <c r="C23" s="46">
        <v>0.0</v>
      </c>
      <c r="D23" s="46">
        <v>1.0</v>
      </c>
      <c r="E23" s="46">
        <v>0.0</v>
      </c>
      <c r="F23" s="47">
        <v>0.0</v>
      </c>
    </row>
    <row r="24">
      <c r="A24" s="48" t="s">
        <v>44</v>
      </c>
      <c r="B24" s="49">
        <v>4.0</v>
      </c>
      <c r="C24" s="49">
        <v>1.0</v>
      </c>
      <c r="D24" s="49">
        <v>0.0</v>
      </c>
      <c r="E24" s="49">
        <v>0.0</v>
      </c>
      <c r="F24" s="50">
        <v>3.0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45</v>
      </c>
      <c r="B1" s="40" t="s">
        <v>2</v>
      </c>
      <c r="C1" s="40" t="s">
        <v>3</v>
      </c>
      <c r="D1" s="40" t="s">
        <v>4</v>
      </c>
      <c r="E1" s="40" t="s">
        <v>5</v>
      </c>
      <c r="F1" s="41" t="s">
        <v>46</v>
      </c>
    </row>
    <row r="2">
      <c r="A2" s="42" t="s">
        <v>17</v>
      </c>
      <c r="B2" s="43">
        <v>5.0</v>
      </c>
      <c r="C2" s="43">
        <v>0.0</v>
      </c>
      <c r="D2" s="43">
        <v>0.0</v>
      </c>
      <c r="E2" s="43">
        <v>0.0</v>
      </c>
      <c r="F2" s="44">
        <v>2.0</v>
      </c>
    </row>
    <row r="3">
      <c r="A3" s="45" t="s">
        <v>19</v>
      </c>
      <c r="B3" s="46">
        <v>5.0</v>
      </c>
      <c r="C3" s="46">
        <v>0.0</v>
      </c>
      <c r="D3" s="46">
        <v>0.0</v>
      </c>
      <c r="E3" s="46">
        <v>0.0</v>
      </c>
      <c r="F3" s="47">
        <v>1.0</v>
      </c>
    </row>
    <row r="4">
      <c r="A4" s="45" t="s">
        <v>21</v>
      </c>
      <c r="B4" s="46">
        <v>6.0</v>
      </c>
      <c r="C4" s="46">
        <v>0.0</v>
      </c>
      <c r="D4" s="46">
        <v>0.0</v>
      </c>
      <c r="E4" s="46">
        <v>0.0</v>
      </c>
      <c r="F4" s="47">
        <v>1.0</v>
      </c>
    </row>
    <row r="5">
      <c r="A5" s="45" t="s">
        <v>23</v>
      </c>
      <c r="B5" s="46">
        <v>6.0</v>
      </c>
      <c r="C5" s="46">
        <v>0.0</v>
      </c>
      <c r="D5" s="46">
        <v>0.0</v>
      </c>
      <c r="E5" s="46">
        <v>0.0</v>
      </c>
      <c r="F5" s="47">
        <v>0.0</v>
      </c>
    </row>
    <row r="6">
      <c r="A6" s="45" t="s">
        <v>24</v>
      </c>
      <c r="B6" s="46">
        <v>6.0</v>
      </c>
      <c r="C6" s="46">
        <v>0.0</v>
      </c>
      <c r="D6" s="46">
        <v>0.0</v>
      </c>
      <c r="E6" s="46">
        <v>0.0</v>
      </c>
      <c r="F6" s="47">
        <v>2.0</v>
      </c>
    </row>
    <row r="7">
      <c r="A7" s="45" t="s">
        <v>25</v>
      </c>
      <c r="B7" s="46">
        <v>7.0</v>
      </c>
      <c r="C7" s="46">
        <v>0.0</v>
      </c>
      <c r="D7" s="46">
        <v>0.0</v>
      </c>
      <c r="E7" s="46">
        <v>0.0</v>
      </c>
      <c r="F7" s="47">
        <v>0.0</v>
      </c>
    </row>
    <row r="8">
      <c r="A8" s="45" t="s">
        <v>27</v>
      </c>
      <c r="B8" s="46">
        <v>7.0</v>
      </c>
      <c r="C8" s="46">
        <v>0.0</v>
      </c>
      <c r="D8" s="46">
        <v>0.0</v>
      </c>
      <c r="E8" s="46">
        <v>1.0</v>
      </c>
      <c r="F8" s="47">
        <v>0.0</v>
      </c>
    </row>
    <row r="9">
      <c r="A9" s="45" t="s">
        <v>28</v>
      </c>
      <c r="B9" s="46">
        <v>6.0</v>
      </c>
      <c r="C9" s="46">
        <v>1.0</v>
      </c>
      <c r="D9" s="46">
        <v>0.0</v>
      </c>
      <c r="E9" s="46">
        <v>0.0</v>
      </c>
      <c r="F9" s="47">
        <v>3.0</v>
      </c>
    </row>
    <row r="10">
      <c r="A10" s="45" t="s">
        <v>30</v>
      </c>
      <c r="B10" s="46">
        <v>5.0</v>
      </c>
      <c r="C10" s="46">
        <v>0.0</v>
      </c>
      <c r="D10" s="46">
        <v>0.0</v>
      </c>
      <c r="E10" s="46">
        <v>0.0</v>
      </c>
      <c r="F10" s="47">
        <v>0.0</v>
      </c>
    </row>
    <row r="11">
      <c r="A11" s="45" t="s">
        <v>31</v>
      </c>
      <c r="B11" s="46">
        <v>4.0</v>
      </c>
      <c r="C11" s="46">
        <v>0.0</v>
      </c>
      <c r="D11" s="46">
        <v>0.0</v>
      </c>
      <c r="E11" s="46">
        <v>0.0</v>
      </c>
      <c r="F11" s="47">
        <v>1.0</v>
      </c>
    </row>
    <row r="12">
      <c r="A12" s="45" t="s">
        <v>32</v>
      </c>
      <c r="B12" s="46">
        <v>2.0</v>
      </c>
      <c r="C12" s="46">
        <v>0.0</v>
      </c>
      <c r="D12" s="46">
        <v>0.0</v>
      </c>
      <c r="E12" s="46">
        <v>0.0</v>
      </c>
      <c r="F12" s="47">
        <v>1.0</v>
      </c>
    </row>
    <row r="13">
      <c r="A13" s="45" t="s">
        <v>33</v>
      </c>
      <c r="B13" s="46">
        <v>4.0</v>
      </c>
      <c r="C13" s="46">
        <v>0.0</v>
      </c>
      <c r="D13" s="46">
        <v>0.0</v>
      </c>
      <c r="E13" s="46">
        <v>0.0</v>
      </c>
      <c r="F13" s="47">
        <v>3.0</v>
      </c>
    </row>
    <row r="14">
      <c r="A14" s="45" t="s">
        <v>34</v>
      </c>
      <c r="B14" s="46"/>
      <c r="C14" s="46"/>
      <c r="D14" s="46"/>
      <c r="E14" s="46"/>
      <c r="F14" s="47"/>
    </row>
    <row r="15">
      <c r="A15" s="45" t="s">
        <v>35</v>
      </c>
      <c r="B15" s="46">
        <v>2.0</v>
      </c>
      <c r="C15" s="46">
        <v>0.0</v>
      </c>
      <c r="D15" s="46">
        <v>0.0</v>
      </c>
      <c r="E15" s="46">
        <v>1.0</v>
      </c>
      <c r="F15" s="47">
        <v>0.0</v>
      </c>
    </row>
    <row r="16">
      <c r="A16" s="45" t="s">
        <v>36</v>
      </c>
      <c r="B16" s="46">
        <v>5.0</v>
      </c>
      <c r="C16" s="46">
        <v>0.0</v>
      </c>
      <c r="D16" s="46">
        <v>0.0</v>
      </c>
      <c r="E16" s="46">
        <v>0.0</v>
      </c>
      <c r="F16" s="47">
        <v>0.0</v>
      </c>
    </row>
    <row r="17">
      <c r="A17" s="45" t="s">
        <v>37</v>
      </c>
      <c r="B17" s="46">
        <v>6.0</v>
      </c>
      <c r="C17" s="46">
        <v>0.0</v>
      </c>
      <c r="D17" s="46">
        <v>0.0</v>
      </c>
      <c r="E17" s="46">
        <v>0.0</v>
      </c>
      <c r="F17" s="47">
        <v>0.0</v>
      </c>
    </row>
    <row r="18">
      <c r="A18" s="45" t="s">
        <v>38</v>
      </c>
      <c r="B18" s="46">
        <v>5.0</v>
      </c>
      <c r="C18" s="46">
        <v>0.0</v>
      </c>
      <c r="D18" s="46">
        <v>0.0</v>
      </c>
      <c r="E18" s="46">
        <v>0.0</v>
      </c>
      <c r="F18" s="47">
        <v>0.0</v>
      </c>
    </row>
    <row r="19">
      <c r="A19" s="45" t="s">
        <v>39</v>
      </c>
      <c r="B19" s="46">
        <v>4.0</v>
      </c>
      <c r="C19" s="46">
        <v>0.0</v>
      </c>
      <c r="D19" s="46">
        <v>0.0</v>
      </c>
      <c r="E19" s="46">
        <v>2.0</v>
      </c>
      <c r="F19" s="47">
        <v>1.0</v>
      </c>
    </row>
    <row r="20">
      <c r="A20" s="45" t="s">
        <v>40</v>
      </c>
      <c r="B20" s="46">
        <v>6.0</v>
      </c>
      <c r="C20" s="46">
        <v>0.0</v>
      </c>
      <c r="D20" s="46">
        <v>0.0</v>
      </c>
      <c r="E20" s="46">
        <v>0.0</v>
      </c>
      <c r="F20" s="47">
        <v>0.0</v>
      </c>
    </row>
    <row r="21">
      <c r="A21" s="45" t="s">
        <v>41</v>
      </c>
      <c r="B21" s="46">
        <v>3.0</v>
      </c>
      <c r="C21" s="46">
        <v>0.0</v>
      </c>
      <c r="D21" s="46">
        <v>1.0</v>
      </c>
      <c r="E21" s="46">
        <v>0.0</v>
      </c>
      <c r="F21" s="47">
        <v>1.0</v>
      </c>
    </row>
    <row r="22">
      <c r="A22" s="45" t="s">
        <v>42</v>
      </c>
      <c r="B22" s="46">
        <v>2.0</v>
      </c>
      <c r="C22" s="46">
        <v>0.0</v>
      </c>
      <c r="D22" s="46">
        <v>0.0</v>
      </c>
      <c r="E22" s="46">
        <v>0.0</v>
      </c>
      <c r="F22" s="47">
        <v>1.0</v>
      </c>
    </row>
    <row r="23">
      <c r="A23" s="45" t="s">
        <v>43</v>
      </c>
      <c r="B23" s="46">
        <v>0.0</v>
      </c>
      <c r="C23" s="46">
        <v>0.0</v>
      </c>
      <c r="D23" s="46">
        <v>0.0</v>
      </c>
      <c r="E23" s="46">
        <v>0.0</v>
      </c>
      <c r="F23" s="47">
        <v>0.0</v>
      </c>
    </row>
    <row r="24">
      <c r="A24" s="48" t="s">
        <v>44</v>
      </c>
      <c r="B24" s="49">
        <v>2.0</v>
      </c>
      <c r="C24" s="49">
        <v>0.0</v>
      </c>
      <c r="D24" s="49">
        <v>0.0</v>
      </c>
      <c r="E24" s="49">
        <v>0.0</v>
      </c>
      <c r="F24" s="50">
        <v>0.0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45</v>
      </c>
      <c r="B1" s="40" t="s">
        <v>2</v>
      </c>
      <c r="C1" s="40" t="s">
        <v>3</v>
      </c>
      <c r="D1" s="40" t="s">
        <v>4</v>
      </c>
      <c r="E1" s="40" t="s">
        <v>5</v>
      </c>
      <c r="F1" s="41" t="s">
        <v>46</v>
      </c>
    </row>
    <row r="2">
      <c r="A2" s="42" t="s">
        <v>17</v>
      </c>
      <c r="B2" s="43">
        <v>4.0</v>
      </c>
      <c r="C2" s="43">
        <v>0.0</v>
      </c>
      <c r="D2" s="43">
        <v>0.0</v>
      </c>
      <c r="E2" s="43">
        <v>0.0</v>
      </c>
      <c r="F2" s="44">
        <v>1.0</v>
      </c>
    </row>
    <row r="3">
      <c r="A3" s="45" t="s">
        <v>19</v>
      </c>
      <c r="B3" s="46">
        <v>6.0</v>
      </c>
      <c r="C3" s="46">
        <v>1.0</v>
      </c>
      <c r="D3" s="46">
        <v>1.0</v>
      </c>
      <c r="E3" s="46">
        <v>0.0</v>
      </c>
      <c r="F3" s="47">
        <v>1.0</v>
      </c>
    </row>
    <row r="4">
      <c r="A4" s="45" t="s">
        <v>21</v>
      </c>
      <c r="B4" s="46">
        <v>4.0</v>
      </c>
      <c r="C4" s="46">
        <v>0.0</v>
      </c>
      <c r="D4" s="46">
        <v>0.0</v>
      </c>
      <c r="E4" s="46">
        <v>0.0</v>
      </c>
      <c r="F4" s="47">
        <v>1.0</v>
      </c>
    </row>
    <row r="5">
      <c r="A5" s="45" t="s">
        <v>23</v>
      </c>
      <c r="B5" s="46">
        <v>6.0</v>
      </c>
      <c r="C5" s="46">
        <v>0.0</v>
      </c>
      <c r="D5" s="46">
        <v>0.0</v>
      </c>
      <c r="E5" s="46">
        <v>1.0</v>
      </c>
      <c r="F5" s="47">
        <v>0.0</v>
      </c>
    </row>
    <row r="6">
      <c r="A6" s="45" t="s">
        <v>24</v>
      </c>
      <c r="B6" s="46">
        <v>7.0</v>
      </c>
      <c r="C6" s="46">
        <v>0.0</v>
      </c>
      <c r="D6" s="46">
        <v>1.0</v>
      </c>
      <c r="E6" s="46">
        <v>1.0</v>
      </c>
      <c r="F6" s="47">
        <v>2.0</v>
      </c>
    </row>
    <row r="7">
      <c r="A7" s="45" t="s">
        <v>25</v>
      </c>
      <c r="B7" s="46">
        <v>8.0</v>
      </c>
      <c r="C7" s="46">
        <v>2.0</v>
      </c>
      <c r="D7" s="46">
        <v>1.0</v>
      </c>
      <c r="E7" s="46">
        <v>1.0</v>
      </c>
      <c r="F7" s="47">
        <v>3.0</v>
      </c>
    </row>
    <row r="8">
      <c r="A8" s="45" t="s">
        <v>27</v>
      </c>
      <c r="B8" s="46">
        <v>7.0</v>
      </c>
      <c r="C8" s="46">
        <v>0.0</v>
      </c>
      <c r="D8" s="46">
        <v>1.0</v>
      </c>
      <c r="E8" s="46">
        <v>2.0</v>
      </c>
      <c r="F8" s="47">
        <v>0.0</v>
      </c>
    </row>
    <row r="9">
      <c r="A9" s="45" t="s">
        <v>28</v>
      </c>
      <c r="B9" s="46">
        <v>6.0</v>
      </c>
      <c r="C9" s="46">
        <v>1.0</v>
      </c>
      <c r="D9" s="46">
        <v>0.0</v>
      </c>
      <c r="E9" s="46">
        <v>1.0</v>
      </c>
      <c r="F9" s="47">
        <v>0.0</v>
      </c>
    </row>
    <row r="10">
      <c r="A10" s="45" t="s">
        <v>30</v>
      </c>
      <c r="B10" s="46">
        <v>1.0</v>
      </c>
      <c r="C10" s="46">
        <v>0.0</v>
      </c>
      <c r="D10" s="46">
        <v>0.0</v>
      </c>
      <c r="E10" s="46">
        <v>0.0</v>
      </c>
      <c r="F10" s="47">
        <v>0.0</v>
      </c>
    </row>
    <row r="11">
      <c r="A11" s="45" t="s">
        <v>31</v>
      </c>
      <c r="B11" s="46">
        <v>1.0</v>
      </c>
      <c r="C11" s="46">
        <v>1.0</v>
      </c>
      <c r="D11" s="46">
        <v>0.0</v>
      </c>
      <c r="E11" s="46">
        <v>0.0</v>
      </c>
      <c r="F11" s="47">
        <v>0.0</v>
      </c>
    </row>
    <row r="12">
      <c r="A12" s="45" t="s">
        <v>32</v>
      </c>
      <c r="B12" s="46">
        <v>1.0</v>
      </c>
      <c r="C12" s="46">
        <v>0.0</v>
      </c>
      <c r="D12" s="46">
        <v>0.0</v>
      </c>
      <c r="E12" s="46">
        <v>0.0</v>
      </c>
      <c r="F12" s="47">
        <v>0.0</v>
      </c>
    </row>
    <row r="13">
      <c r="A13" s="45" t="s">
        <v>33</v>
      </c>
      <c r="B13" s="46">
        <v>6.0</v>
      </c>
      <c r="C13" s="46">
        <v>0.0</v>
      </c>
      <c r="D13" s="46">
        <v>0.0</v>
      </c>
      <c r="E13" s="46">
        <v>0.0</v>
      </c>
      <c r="F13" s="47">
        <v>0.0</v>
      </c>
    </row>
    <row r="14">
      <c r="A14" s="45" t="s">
        <v>34</v>
      </c>
      <c r="B14" s="46"/>
      <c r="C14" s="46"/>
      <c r="D14" s="46"/>
      <c r="E14" s="46"/>
      <c r="F14" s="47"/>
    </row>
    <row r="15">
      <c r="A15" s="45" t="s">
        <v>35</v>
      </c>
      <c r="B15" s="46">
        <v>7.0</v>
      </c>
      <c r="C15" s="46">
        <v>0.0</v>
      </c>
      <c r="D15" s="46">
        <v>0.0</v>
      </c>
      <c r="E15" s="46">
        <v>1.0</v>
      </c>
      <c r="F15" s="47">
        <v>0.0</v>
      </c>
    </row>
    <row r="16">
      <c r="A16" s="45" t="s">
        <v>36</v>
      </c>
      <c r="B16" s="46">
        <v>8.0</v>
      </c>
      <c r="C16" s="46">
        <v>0.0</v>
      </c>
      <c r="D16" s="46">
        <v>1.0</v>
      </c>
      <c r="E16" s="46">
        <v>2.0</v>
      </c>
      <c r="F16" s="47">
        <v>3.0</v>
      </c>
    </row>
    <row r="17">
      <c r="A17" s="45" t="s">
        <v>37</v>
      </c>
      <c r="B17" s="46">
        <v>9.0</v>
      </c>
      <c r="C17" s="46">
        <v>0.0</v>
      </c>
      <c r="D17" s="46">
        <v>1.0</v>
      </c>
      <c r="E17" s="46">
        <v>0.0</v>
      </c>
      <c r="F17" s="47">
        <v>0.0</v>
      </c>
    </row>
    <row r="18">
      <c r="A18" s="45" t="s">
        <v>38</v>
      </c>
      <c r="B18" s="46">
        <v>8.0</v>
      </c>
      <c r="C18" s="46">
        <v>1.0</v>
      </c>
      <c r="D18" s="46">
        <v>0.0</v>
      </c>
      <c r="E18" s="46">
        <v>0.0</v>
      </c>
      <c r="F18" s="47">
        <v>5.0</v>
      </c>
    </row>
    <row r="19">
      <c r="A19" s="45" t="s">
        <v>39</v>
      </c>
      <c r="B19" s="46">
        <v>7.0</v>
      </c>
      <c r="C19" s="46">
        <v>0.0</v>
      </c>
      <c r="D19" s="46">
        <v>0.0</v>
      </c>
      <c r="E19" s="46">
        <v>2.0</v>
      </c>
      <c r="F19" s="47">
        <v>2.0</v>
      </c>
    </row>
    <row r="20">
      <c r="A20" s="45" t="s">
        <v>40</v>
      </c>
      <c r="B20" s="46">
        <v>8.0</v>
      </c>
      <c r="C20" s="46">
        <v>0.0</v>
      </c>
      <c r="D20" s="46">
        <v>0.0</v>
      </c>
      <c r="E20" s="46">
        <v>0.0</v>
      </c>
      <c r="F20" s="47">
        <v>3.0</v>
      </c>
    </row>
    <row r="21">
      <c r="A21" s="45" t="s">
        <v>41</v>
      </c>
      <c r="B21" s="46">
        <v>1.0</v>
      </c>
      <c r="C21" s="46">
        <v>0.0</v>
      </c>
      <c r="D21" s="46">
        <v>0.0</v>
      </c>
      <c r="E21" s="46">
        <v>0.0</v>
      </c>
      <c r="F21" s="47">
        <v>0.0</v>
      </c>
    </row>
    <row r="22">
      <c r="A22" s="45" t="s">
        <v>42</v>
      </c>
      <c r="B22" s="46">
        <v>0.0</v>
      </c>
      <c r="C22" s="46">
        <v>0.0</v>
      </c>
      <c r="D22" s="46">
        <v>0.0</v>
      </c>
      <c r="E22" s="46">
        <v>0.0</v>
      </c>
      <c r="F22" s="47">
        <v>0.0</v>
      </c>
    </row>
    <row r="23">
      <c r="A23" s="45" t="s">
        <v>43</v>
      </c>
      <c r="B23" s="46">
        <v>0.0</v>
      </c>
      <c r="C23" s="46">
        <v>0.0</v>
      </c>
      <c r="D23" s="46">
        <v>0.0</v>
      </c>
      <c r="E23" s="46">
        <v>0.0</v>
      </c>
      <c r="F23" s="47">
        <v>0.0</v>
      </c>
    </row>
    <row r="24">
      <c r="A24" s="48" t="s">
        <v>44</v>
      </c>
      <c r="B24" s="49">
        <v>0.0</v>
      </c>
      <c r="C24" s="49">
        <v>0.0</v>
      </c>
      <c r="D24" s="49">
        <v>0.0</v>
      </c>
      <c r="E24" s="49">
        <v>0.0</v>
      </c>
      <c r="F24" s="50">
        <v>0.0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45</v>
      </c>
      <c r="B1" s="40" t="s">
        <v>2</v>
      </c>
      <c r="C1" s="40" t="s">
        <v>3</v>
      </c>
      <c r="D1" s="40" t="s">
        <v>4</v>
      </c>
      <c r="E1" s="40" t="s">
        <v>5</v>
      </c>
      <c r="F1" s="41" t="s">
        <v>46</v>
      </c>
    </row>
    <row r="2">
      <c r="A2" s="42" t="s">
        <v>17</v>
      </c>
      <c r="B2" s="43">
        <v>4.0</v>
      </c>
      <c r="C2" s="43">
        <v>0.0</v>
      </c>
      <c r="D2" s="43">
        <v>0.0</v>
      </c>
      <c r="E2" s="43">
        <v>0.0</v>
      </c>
      <c r="F2" s="44">
        <v>0.0</v>
      </c>
    </row>
    <row r="3">
      <c r="A3" s="45" t="s">
        <v>19</v>
      </c>
      <c r="B3" s="46">
        <v>10.0</v>
      </c>
      <c r="C3" s="46">
        <v>2.0</v>
      </c>
      <c r="D3" s="46">
        <v>0.0</v>
      </c>
      <c r="E3" s="46">
        <v>0.0</v>
      </c>
      <c r="F3" s="47">
        <v>2.0</v>
      </c>
    </row>
    <row r="4">
      <c r="A4" s="45" t="s">
        <v>21</v>
      </c>
      <c r="B4" s="46">
        <v>7.0</v>
      </c>
      <c r="C4" s="46">
        <v>1.0</v>
      </c>
      <c r="D4" s="46">
        <v>0.0</v>
      </c>
      <c r="E4" s="46">
        <v>0.0</v>
      </c>
      <c r="F4" s="47">
        <v>2.0</v>
      </c>
    </row>
    <row r="5">
      <c r="A5" s="45" t="s">
        <v>23</v>
      </c>
      <c r="B5" s="46">
        <v>9.0</v>
      </c>
      <c r="C5" s="46">
        <v>3.0</v>
      </c>
      <c r="D5" s="46">
        <v>0.0</v>
      </c>
      <c r="E5" s="46">
        <v>0.0</v>
      </c>
      <c r="F5" s="47">
        <v>2.0</v>
      </c>
    </row>
    <row r="6">
      <c r="A6" s="45" t="s">
        <v>24</v>
      </c>
      <c r="B6" s="46">
        <v>12.0</v>
      </c>
      <c r="C6" s="46">
        <v>1.0</v>
      </c>
      <c r="D6" s="46">
        <v>2.0</v>
      </c>
      <c r="E6" s="46">
        <v>1.0</v>
      </c>
      <c r="F6" s="47">
        <v>3.0</v>
      </c>
    </row>
    <row r="7">
      <c r="A7" s="45" t="s">
        <v>25</v>
      </c>
      <c r="B7" s="46">
        <v>10.0</v>
      </c>
      <c r="C7" s="46">
        <v>0.0</v>
      </c>
      <c r="D7" s="46">
        <v>2.0</v>
      </c>
      <c r="E7" s="46">
        <v>1.0</v>
      </c>
      <c r="F7" s="47">
        <v>0.0</v>
      </c>
    </row>
    <row r="8">
      <c r="A8" s="45" t="s">
        <v>27</v>
      </c>
      <c r="B8" s="46">
        <v>11.0</v>
      </c>
      <c r="C8" s="46">
        <v>0.0</v>
      </c>
      <c r="D8" s="46">
        <v>1.0</v>
      </c>
      <c r="E8" s="46">
        <v>0.0</v>
      </c>
      <c r="F8" s="47">
        <v>2.0</v>
      </c>
    </row>
    <row r="9">
      <c r="A9" s="45" t="s">
        <v>28</v>
      </c>
      <c r="B9" s="46">
        <v>9.0</v>
      </c>
      <c r="C9" s="46">
        <v>0.0</v>
      </c>
      <c r="D9" s="46">
        <v>2.0</v>
      </c>
      <c r="E9" s="46">
        <v>1.0</v>
      </c>
      <c r="F9" s="47">
        <v>2.0</v>
      </c>
    </row>
    <row r="10">
      <c r="A10" s="45" t="s">
        <v>30</v>
      </c>
      <c r="B10" s="46">
        <v>5.0</v>
      </c>
      <c r="C10" s="46">
        <v>0.0</v>
      </c>
      <c r="D10" s="46">
        <v>0.0</v>
      </c>
      <c r="E10" s="46">
        <v>0.0</v>
      </c>
      <c r="F10" s="47">
        <v>0.0</v>
      </c>
    </row>
    <row r="11">
      <c r="A11" s="45" t="s">
        <v>31</v>
      </c>
      <c r="B11" s="46">
        <v>7.0</v>
      </c>
      <c r="C11" s="46">
        <v>1.0</v>
      </c>
      <c r="D11" s="46">
        <v>1.0</v>
      </c>
      <c r="E11" s="46">
        <v>0.0</v>
      </c>
      <c r="F11" s="47">
        <v>0.0</v>
      </c>
    </row>
    <row r="12">
      <c r="A12" s="45" t="s">
        <v>32</v>
      </c>
      <c r="B12" s="46">
        <v>1.0</v>
      </c>
      <c r="C12" s="46">
        <v>0.0</v>
      </c>
      <c r="D12" s="46">
        <v>0.0</v>
      </c>
      <c r="E12" s="46">
        <v>0.0</v>
      </c>
      <c r="F12" s="47">
        <v>0.0</v>
      </c>
    </row>
    <row r="13">
      <c r="A13" s="45" t="s">
        <v>33</v>
      </c>
      <c r="B13" s="46">
        <v>6.0</v>
      </c>
      <c r="C13" s="46">
        <v>0.0</v>
      </c>
      <c r="D13" s="46">
        <v>1.0</v>
      </c>
      <c r="E13" s="46">
        <v>1.0</v>
      </c>
      <c r="F13" s="47">
        <v>1.0</v>
      </c>
    </row>
    <row r="14">
      <c r="A14" s="45" t="s">
        <v>34</v>
      </c>
      <c r="B14" s="46"/>
      <c r="C14" s="46"/>
      <c r="D14" s="46"/>
      <c r="E14" s="46"/>
      <c r="F14" s="47"/>
    </row>
    <row r="15">
      <c r="A15" s="45" t="s">
        <v>35</v>
      </c>
      <c r="B15" s="46">
        <v>11.0</v>
      </c>
      <c r="C15" s="46">
        <v>0.0</v>
      </c>
      <c r="D15" s="46">
        <v>0.0</v>
      </c>
      <c r="E15" s="46">
        <v>1.0</v>
      </c>
      <c r="F15" s="47">
        <v>0.0</v>
      </c>
    </row>
    <row r="16">
      <c r="A16" s="45" t="s">
        <v>36</v>
      </c>
      <c r="B16" s="46">
        <v>11.0</v>
      </c>
      <c r="C16" s="46">
        <v>1.0</v>
      </c>
      <c r="D16" s="46">
        <v>0.0</v>
      </c>
      <c r="E16" s="46">
        <v>1.0</v>
      </c>
      <c r="F16" s="47">
        <v>0.0</v>
      </c>
    </row>
    <row r="17">
      <c r="A17" s="45" t="s">
        <v>37</v>
      </c>
      <c r="B17" s="46">
        <v>12.0</v>
      </c>
      <c r="C17" s="46">
        <v>0.0</v>
      </c>
      <c r="D17" s="46">
        <v>0.0</v>
      </c>
      <c r="E17" s="46">
        <v>0.0</v>
      </c>
      <c r="F17" s="47">
        <v>0.0</v>
      </c>
    </row>
    <row r="18">
      <c r="A18" s="45" t="s">
        <v>38</v>
      </c>
      <c r="B18" s="46">
        <v>11.0</v>
      </c>
      <c r="C18" s="46">
        <v>1.0</v>
      </c>
      <c r="D18" s="46">
        <v>0.0</v>
      </c>
      <c r="E18" s="46">
        <v>0.0</v>
      </c>
      <c r="F18" s="47">
        <v>2.0</v>
      </c>
    </row>
    <row r="19">
      <c r="A19" s="45" t="s">
        <v>39</v>
      </c>
      <c r="B19" s="46">
        <v>10.0</v>
      </c>
      <c r="C19" s="46">
        <v>0.0</v>
      </c>
      <c r="D19" s="46">
        <v>0.0</v>
      </c>
      <c r="E19" s="46">
        <v>1.0</v>
      </c>
      <c r="F19" s="47">
        <v>1.0</v>
      </c>
    </row>
    <row r="20">
      <c r="A20" s="45" t="s">
        <v>40</v>
      </c>
      <c r="B20" s="46">
        <v>9.0</v>
      </c>
      <c r="C20" s="46">
        <v>0.0</v>
      </c>
      <c r="D20" s="46">
        <v>1.0</v>
      </c>
      <c r="E20" s="46">
        <v>0.0</v>
      </c>
      <c r="F20" s="47">
        <v>1.0</v>
      </c>
    </row>
    <row r="21">
      <c r="A21" s="45" t="s">
        <v>41</v>
      </c>
      <c r="B21" s="46">
        <v>4.0</v>
      </c>
      <c r="C21" s="46">
        <v>0.0</v>
      </c>
      <c r="D21" s="46">
        <v>0.0</v>
      </c>
      <c r="E21" s="46">
        <v>0.0</v>
      </c>
      <c r="F21" s="47">
        <v>0.0</v>
      </c>
    </row>
    <row r="22">
      <c r="A22" s="45" t="s">
        <v>42</v>
      </c>
      <c r="B22" s="46">
        <v>1.0</v>
      </c>
      <c r="C22" s="46">
        <v>0.0</v>
      </c>
      <c r="D22" s="46">
        <v>0.0</v>
      </c>
      <c r="E22" s="46">
        <v>0.0</v>
      </c>
      <c r="F22" s="47">
        <v>0.0</v>
      </c>
    </row>
    <row r="23">
      <c r="A23" s="45" t="s">
        <v>43</v>
      </c>
      <c r="B23" s="46">
        <v>1.0</v>
      </c>
      <c r="C23" s="46">
        <v>0.0</v>
      </c>
      <c r="D23" s="46">
        <v>0.0</v>
      </c>
      <c r="E23" s="46">
        <v>0.0</v>
      </c>
      <c r="F23" s="47">
        <v>0.0</v>
      </c>
    </row>
    <row r="24">
      <c r="A24" s="48" t="s">
        <v>44</v>
      </c>
      <c r="B24" s="49">
        <v>0.0</v>
      </c>
      <c r="C24" s="49">
        <v>0.0</v>
      </c>
      <c r="D24" s="49">
        <v>0.0</v>
      </c>
      <c r="E24" s="49">
        <v>0.0</v>
      </c>
      <c r="F24" s="50">
        <v>0.0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46</v>
      </c>
    </row>
    <row r="2">
      <c r="A2" s="51" t="s">
        <v>11</v>
      </c>
      <c r="B2" s="54">
        <f t="shared" ref="B2:B8" si="1">SWITCH($A2, "", "", INDIRECT("'"&amp;$A2&amp;"'!B$2"))</f>
        <v>9</v>
      </c>
      <c r="C2" s="55">
        <f t="shared" ref="C2:C8" si="2">SWITCH($A2, "", "", INDIRECT("'"&amp;$A2&amp;"'!C$2"))</f>
        <v>1</v>
      </c>
      <c r="D2" s="55">
        <f t="shared" ref="D2:D8" si="3">SWITCH($A2, "", "", INDIRECT("'"&amp;$A2&amp;"'!D$2"))</f>
        <v>0</v>
      </c>
      <c r="E2" s="55">
        <f t="shared" ref="E2:E8" si="4">SWITCH($A2, "", "", INDIRECT("'"&amp;$A2&amp;"'!E$2"))</f>
        <v>0</v>
      </c>
      <c r="F2" s="56">
        <f t="shared" ref="F2:F8" si="5">SWITCH($A2, "", "", INDIRECT("'"&amp;$A2&amp;"'!F$2"))</f>
        <v>2</v>
      </c>
    </row>
    <row r="3">
      <c r="A3" s="57" t="s">
        <v>12</v>
      </c>
      <c r="B3" s="58">
        <f t="shared" si="1"/>
        <v>7</v>
      </c>
      <c r="C3" s="59">
        <f t="shared" si="2"/>
        <v>0</v>
      </c>
      <c r="D3" s="59">
        <f t="shared" si="3"/>
        <v>0</v>
      </c>
      <c r="E3" s="59">
        <f t="shared" si="4"/>
        <v>0</v>
      </c>
      <c r="F3" s="60">
        <f t="shared" si="5"/>
        <v>1</v>
      </c>
    </row>
    <row r="4">
      <c r="A4" s="57" t="s">
        <v>13</v>
      </c>
      <c r="B4" s="58">
        <f t="shared" si="1"/>
        <v>6</v>
      </c>
      <c r="C4" s="59">
        <f t="shared" si="2"/>
        <v>0</v>
      </c>
      <c r="D4" s="59">
        <f t="shared" si="3"/>
        <v>0</v>
      </c>
      <c r="E4" s="59">
        <f t="shared" si="4"/>
        <v>0</v>
      </c>
      <c r="F4" s="60">
        <f t="shared" si="5"/>
        <v>2</v>
      </c>
    </row>
    <row r="5">
      <c r="A5" s="57" t="s">
        <v>14</v>
      </c>
      <c r="B5" s="58">
        <f t="shared" si="1"/>
        <v>5</v>
      </c>
      <c r="C5" s="59">
        <f t="shared" si="2"/>
        <v>0</v>
      </c>
      <c r="D5" s="59">
        <f t="shared" si="3"/>
        <v>0</v>
      </c>
      <c r="E5" s="59">
        <f t="shared" si="4"/>
        <v>0</v>
      </c>
      <c r="F5" s="60">
        <f t="shared" si="5"/>
        <v>2</v>
      </c>
    </row>
    <row r="6">
      <c r="A6" s="57" t="s">
        <v>15</v>
      </c>
      <c r="B6" s="58">
        <f t="shared" si="1"/>
        <v>4</v>
      </c>
      <c r="C6" s="59">
        <f t="shared" si="2"/>
        <v>0</v>
      </c>
      <c r="D6" s="59">
        <f t="shared" si="3"/>
        <v>0</v>
      </c>
      <c r="E6" s="59">
        <f t="shared" si="4"/>
        <v>0</v>
      </c>
      <c r="F6" s="60">
        <f t="shared" si="5"/>
        <v>1</v>
      </c>
    </row>
    <row r="7">
      <c r="A7" s="57" t="s">
        <v>16</v>
      </c>
      <c r="B7" s="58">
        <f t="shared" si="1"/>
        <v>4</v>
      </c>
      <c r="C7" s="59">
        <f t="shared" si="2"/>
        <v>0</v>
      </c>
      <c r="D7" s="59">
        <f t="shared" si="3"/>
        <v>0</v>
      </c>
      <c r="E7" s="59">
        <f t="shared" si="4"/>
        <v>0</v>
      </c>
      <c r="F7" s="60">
        <f t="shared" si="5"/>
        <v>0</v>
      </c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47</v>
      </c>
      <c r="B9" s="66">
        <f>SWITCH(SUM(B2:B8), 0, "", SUM(B2:B8))</f>
        <v>35</v>
      </c>
      <c r="C9" s="67">
        <f t="shared" ref="C9:F9" si="6">SWITCH($B$9, "", "", SUM(C$2:C$8))</f>
        <v>1</v>
      </c>
      <c r="D9" s="67">
        <f t="shared" si="6"/>
        <v>0</v>
      </c>
      <c r="E9" s="67">
        <f t="shared" si="6"/>
        <v>0</v>
      </c>
      <c r="F9" s="67">
        <f t="shared" si="6"/>
        <v>8</v>
      </c>
    </row>
    <row r="10">
      <c r="A10" s="61" t="s">
        <v>48</v>
      </c>
      <c r="B10" s="68"/>
      <c r="C10" s="69">
        <f t="shared" ref="C10:F10" si="7">SWITCH(C$9, "", "", C$9/$B$9)</f>
        <v>0.02857142857</v>
      </c>
      <c r="D10" s="69">
        <f t="shared" si="7"/>
        <v>0</v>
      </c>
      <c r="E10" s="69">
        <f t="shared" si="7"/>
        <v>0</v>
      </c>
      <c r="F10" s="69">
        <f t="shared" si="7"/>
        <v>0.2285714286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46</v>
      </c>
      <c r="G1" s="9"/>
      <c r="I1" s="27"/>
    </row>
    <row r="2">
      <c r="A2" s="51" t="s">
        <v>11</v>
      </c>
      <c r="B2" s="54">
        <f t="shared" ref="B2:B8" si="1">SWITCH($A2, "", "", INDIRECT("'"&amp;$A2&amp;"'!B$3"))</f>
        <v>7</v>
      </c>
      <c r="C2" s="55">
        <f t="shared" ref="C2:C8" si="2">SWITCH($A2, "", "", INDIRECT("'"&amp;$A2&amp;"'!C$3"))</f>
        <v>0</v>
      </c>
      <c r="D2" s="55">
        <f t="shared" ref="D2:D8" si="3">SWITCH($A2, "", "", INDIRECT("'"&amp;$A2&amp;"'!D$3"))</f>
        <v>0</v>
      </c>
      <c r="E2" s="55">
        <f t="shared" ref="E2:E8" si="4">SWITCH($A2, "", "", INDIRECT("'"&amp;$A2&amp;"'!E$3"))</f>
        <v>0</v>
      </c>
      <c r="F2" s="56">
        <f t="shared" ref="F2:F8" si="5">SWITCH($A2, "", "", INDIRECT("'"&amp;$A2&amp;"'!F$3"))</f>
        <v>2</v>
      </c>
      <c r="I2" s="27"/>
    </row>
    <row r="3">
      <c r="A3" s="57" t="s">
        <v>12</v>
      </c>
      <c r="B3" s="58">
        <f t="shared" si="1"/>
        <v>7</v>
      </c>
      <c r="C3" s="59">
        <f t="shared" si="2"/>
        <v>1</v>
      </c>
      <c r="D3" s="59">
        <f t="shared" si="3"/>
        <v>0</v>
      </c>
      <c r="E3" s="59">
        <f t="shared" si="4"/>
        <v>0</v>
      </c>
      <c r="F3" s="60">
        <f t="shared" si="5"/>
        <v>1</v>
      </c>
      <c r="I3" s="27"/>
    </row>
    <row r="4">
      <c r="A4" s="57" t="s">
        <v>13</v>
      </c>
      <c r="B4" s="58">
        <f t="shared" si="1"/>
        <v>6</v>
      </c>
      <c r="C4" s="59">
        <f t="shared" si="2"/>
        <v>0</v>
      </c>
      <c r="D4" s="59">
        <f t="shared" si="3"/>
        <v>1</v>
      </c>
      <c r="E4" s="59">
        <f t="shared" si="4"/>
        <v>0</v>
      </c>
      <c r="F4" s="60">
        <f t="shared" si="5"/>
        <v>0</v>
      </c>
      <c r="I4" s="27"/>
    </row>
    <row r="5">
      <c r="A5" s="57" t="s">
        <v>14</v>
      </c>
      <c r="B5" s="58">
        <f t="shared" si="1"/>
        <v>5</v>
      </c>
      <c r="C5" s="59">
        <f t="shared" si="2"/>
        <v>0</v>
      </c>
      <c r="D5" s="59">
        <f t="shared" si="3"/>
        <v>0</v>
      </c>
      <c r="E5" s="59">
        <f t="shared" si="4"/>
        <v>0</v>
      </c>
      <c r="F5" s="60">
        <f t="shared" si="5"/>
        <v>1</v>
      </c>
      <c r="I5" s="27"/>
    </row>
    <row r="6">
      <c r="A6" s="57" t="s">
        <v>15</v>
      </c>
      <c r="B6" s="58">
        <f t="shared" si="1"/>
        <v>6</v>
      </c>
      <c r="C6" s="59">
        <f t="shared" si="2"/>
        <v>1</v>
      </c>
      <c r="D6" s="59">
        <f t="shared" si="3"/>
        <v>1</v>
      </c>
      <c r="E6" s="59">
        <f t="shared" si="4"/>
        <v>0</v>
      </c>
      <c r="F6" s="60">
        <f t="shared" si="5"/>
        <v>1</v>
      </c>
      <c r="I6" s="27"/>
    </row>
    <row r="7">
      <c r="A7" s="57" t="s">
        <v>16</v>
      </c>
      <c r="B7" s="58">
        <f t="shared" si="1"/>
        <v>10</v>
      </c>
      <c r="C7" s="59">
        <f t="shared" si="2"/>
        <v>2</v>
      </c>
      <c r="D7" s="59">
        <f t="shared" si="3"/>
        <v>0</v>
      </c>
      <c r="E7" s="59">
        <f t="shared" si="4"/>
        <v>0</v>
      </c>
      <c r="F7" s="60">
        <f t="shared" si="5"/>
        <v>2</v>
      </c>
      <c r="I7" s="27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47</v>
      </c>
      <c r="B9" s="66">
        <f>SWITCH(SUM(B2:B8), 0, "", SUM(B2:B8))</f>
        <v>41</v>
      </c>
      <c r="C9" s="67">
        <f t="shared" ref="C9:F9" si="6">SWITCH($B$9, "", "", SUM(C$2:C$8))</f>
        <v>4</v>
      </c>
      <c r="D9" s="67">
        <f t="shared" si="6"/>
        <v>2</v>
      </c>
      <c r="E9" s="67">
        <f t="shared" si="6"/>
        <v>0</v>
      </c>
      <c r="F9" s="67">
        <f t="shared" si="6"/>
        <v>7</v>
      </c>
    </row>
    <row r="10">
      <c r="A10" s="61" t="s">
        <v>48</v>
      </c>
      <c r="B10" s="68"/>
      <c r="C10" s="69">
        <f t="shared" ref="C10:F10" si="7">SWITCH(C$9, "", "", C$9/$B$9)</f>
        <v>0.09756097561</v>
      </c>
      <c r="D10" s="69">
        <f t="shared" si="7"/>
        <v>0.0487804878</v>
      </c>
      <c r="E10" s="69">
        <f t="shared" si="7"/>
        <v>0</v>
      </c>
      <c r="F10" s="69">
        <f t="shared" si="7"/>
        <v>0.1707317073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46</v>
      </c>
      <c r="G1" s="9"/>
      <c r="I1" s="27"/>
    </row>
    <row r="2">
      <c r="A2" s="51" t="s">
        <v>11</v>
      </c>
      <c r="B2" s="54">
        <f t="shared" ref="B2:B8" si="1">SWITCH($A2, "", "", INDIRECT("'"&amp;$A2&amp;"'!B$4"))</f>
        <v>10</v>
      </c>
      <c r="C2" s="55">
        <f t="shared" ref="C2:C8" si="2">SWITCH($A2, "", "", INDIRECT("'"&amp;$A2&amp;"'!C$4"))</f>
        <v>0</v>
      </c>
      <c r="D2" s="55">
        <f t="shared" ref="D2:D8" si="3">SWITCH($A2, "", "", INDIRECT("'"&amp;$A2&amp;"'!D$4"))</f>
        <v>0</v>
      </c>
      <c r="E2" s="55">
        <f t="shared" ref="E2:E8" si="4">SWITCH($A2, "", "", INDIRECT("'"&amp;$A2&amp;"'!E$4"))</f>
        <v>1</v>
      </c>
      <c r="F2" s="56">
        <f t="shared" ref="F2:F8" si="5">SWITCH($A2, "", "", INDIRECT("'"&amp;$A2&amp;"'!F$4"))</f>
        <v>1</v>
      </c>
      <c r="I2" s="27"/>
    </row>
    <row r="3">
      <c r="A3" s="57" t="s">
        <v>12</v>
      </c>
      <c r="B3" s="58">
        <f t="shared" si="1"/>
        <v>8</v>
      </c>
      <c r="C3" s="59">
        <f t="shared" si="2"/>
        <v>1</v>
      </c>
      <c r="D3" s="59">
        <f t="shared" si="3"/>
        <v>0</v>
      </c>
      <c r="E3" s="59">
        <f t="shared" si="4"/>
        <v>0</v>
      </c>
      <c r="F3" s="60">
        <f t="shared" si="5"/>
        <v>0</v>
      </c>
      <c r="I3" s="27"/>
    </row>
    <row r="4">
      <c r="A4" s="57" t="s">
        <v>13</v>
      </c>
      <c r="B4" s="58">
        <f t="shared" si="1"/>
        <v>5</v>
      </c>
      <c r="C4" s="59">
        <f t="shared" si="2"/>
        <v>0</v>
      </c>
      <c r="D4" s="59">
        <f t="shared" si="3"/>
        <v>1</v>
      </c>
      <c r="E4" s="59">
        <f t="shared" si="4"/>
        <v>0</v>
      </c>
      <c r="F4" s="60">
        <f t="shared" si="5"/>
        <v>1</v>
      </c>
      <c r="I4" s="27"/>
    </row>
    <row r="5">
      <c r="A5" s="57" t="s">
        <v>14</v>
      </c>
      <c r="B5" s="58">
        <f t="shared" si="1"/>
        <v>6</v>
      </c>
      <c r="C5" s="59">
        <f t="shared" si="2"/>
        <v>0</v>
      </c>
      <c r="D5" s="59">
        <f t="shared" si="3"/>
        <v>0</v>
      </c>
      <c r="E5" s="59">
        <f t="shared" si="4"/>
        <v>0</v>
      </c>
      <c r="F5" s="60">
        <f t="shared" si="5"/>
        <v>1</v>
      </c>
      <c r="I5" s="27"/>
    </row>
    <row r="6">
      <c r="A6" s="57" t="s">
        <v>15</v>
      </c>
      <c r="B6" s="58">
        <f t="shared" si="1"/>
        <v>4</v>
      </c>
      <c r="C6" s="59">
        <f t="shared" si="2"/>
        <v>0</v>
      </c>
      <c r="D6" s="59">
        <f t="shared" si="3"/>
        <v>0</v>
      </c>
      <c r="E6" s="59">
        <f t="shared" si="4"/>
        <v>0</v>
      </c>
      <c r="F6" s="60">
        <f t="shared" si="5"/>
        <v>1</v>
      </c>
      <c r="I6" s="27"/>
    </row>
    <row r="7">
      <c r="A7" s="57" t="s">
        <v>16</v>
      </c>
      <c r="B7" s="58">
        <f t="shared" si="1"/>
        <v>7</v>
      </c>
      <c r="C7" s="59">
        <f t="shared" si="2"/>
        <v>1</v>
      </c>
      <c r="D7" s="59">
        <f t="shared" si="3"/>
        <v>0</v>
      </c>
      <c r="E7" s="59">
        <f t="shared" si="4"/>
        <v>0</v>
      </c>
      <c r="F7" s="60">
        <f t="shared" si="5"/>
        <v>2</v>
      </c>
      <c r="I7" s="27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47</v>
      </c>
      <c r="B9" s="66">
        <f>SWITCH(SUM(B2:B8), 0, "", SUM(B2:B8))</f>
        <v>40</v>
      </c>
      <c r="C9" s="67">
        <f t="shared" ref="C9:F9" si="6">SWITCH($B$9, "", "", SUM(C$2:C$8))</f>
        <v>2</v>
      </c>
      <c r="D9" s="67">
        <f t="shared" si="6"/>
        <v>1</v>
      </c>
      <c r="E9" s="67">
        <f t="shared" si="6"/>
        <v>1</v>
      </c>
      <c r="F9" s="67">
        <f t="shared" si="6"/>
        <v>6</v>
      </c>
    </row>
    <row r="10">
      <c r="A10" s="61" t="s">
        <v>48</v>
      </c>
      <c r="B10" s="68"/>
      <c r="C10" s="69">
        <f t="shared" ref="C10:F10" si="7">SWITCH(C$9, "", "", C$9/$B$9)</f>
        <v>0.05</v>
      </c>
      <c r="D10" s="69">
        <f t="shared" si="7"/>
        <v>0.025</v>
      </c>
      <c r="E10" s="69">
        <f t="shared" si="7"/>
        <v>0.025</v>
      </c>
      <c r="F10" s="69">
        <f t="shared" si="7"/>
        <v>0.15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46</v>
      </c>
      <c r="G1" s="9"/>
      <c r="I1" s="27"/>
    </row>
    <row r="2">
      <c r="A2" s="51" t="s">
        <v>11</v>
      </c>
      <c r="B2" s="54">
        <f t="shared" ref="B2:B8" si="1">SWITCH($A2, "", "", INDIRECT("'"&amp;$A2&amp;"'!B$5"))</f>
        <v>12</v>
      </c>
      <c r="C2" s="55">
        <f t="shared" ref="C2:C8" si="2">SWITCH($A2, "", "", INDIRECT("'"&amp;$A2&amp;"'!C$5"))</f>
        <v>2</v>
      </c>
      <c r="D2" s="55">
        <f t="shared" ref="D2:D8" si="3">SWITCH($A2, "", "", INDIRECT("'"&amp;$A2&amp;"'!D$5"))</f>
        <v>1</v>
      </c>
      <c r="E2" s="55">
        <f t="shared" ref="E2:E8" si="4">SWITCH($A2, "", "", INDIRECT("'"&amp;$A2&amp;"'!E$5"))</f>
        <v>1</v>
      </c>
      <c r="F2" s="56">
        <f t="shared" ref="F2:F8" si="5">SWITCH($A2, "", "", INDIRECT("'"&amp;$A2&amp;"'!F$5"))</f>
        <v>1</v>
      </c>
      <c r="I2" s="27"/>
    </row>
    <row r="3">
      <c r="A3" s="57" t="s">
        <v>12</v>
      </c>
      <c r="B3" s="58">
        <f t="shared" si="1"/>
        <v>8</v>
      </c>
      <c r="C3" s="59">
        <f t="shared" si="2"/>
        <v>1</v>
      </c>
      <c r="D3" s="59">
        <f t="shared" si="3"/>
        <v>0</v>
      </c>
      <c r="E3" s="59">
        <f t="shared" si="4"/>
        <v>2</v>
      </c>
      <c r="F3" s="60">
        <f t="shared" si="5"/>
        <v>2</v>
      </c>
      <c r="I3" s="27"/>
    </row>
    <row r="4">
      <c r="A4" s="57" t="s">
        <v>13</v>
      </c>
      <c r="B4" s="58">
        <f t="shared" si="1"/>
        <v>6</v>
      </c>
      <c r="C4" s="59">
        <f t="shared" si="2"/>
        <v>3</v>
      </c>
      <c r="D4" s="59">
        <f t="shared" si="3"/>
        <v>0</v>
      </c>
      <c r="E4" s="59">
        <f t="shared" si="4"/>
        <v>1</v>
      </c>
      <c r="F4" s="60">
        <f t="shared" si="5"/>
        <v>1</v>
      </c>
      <c r="I4" s="27"/>
    </row>
    <row r="5">
      <c r="A5" s="57" t="s">
        <v>14</v>
      </c>
      <c r="B5" s="58">
        <f t="shared" si="1"/>
        <v>6</v>
      </c>
      <c r="C5" s="59">
        <f t="shared" si="2"/>
        <v>0</v>
      </c>
      <c r="D5" s="59">
        <f t="shared" si="3"/>
        <v>0</v>
      </c>
      <c r="E5" s="59">
        <f t="shared" si="4"/>
        <v>0</v>
      </c>
      <c r="F5" s="60">
        <f t="shared" si="5"/>
        <v>0</v>
      </c>
      <c r="I5" s="27"/>
    </row>
    <row r="6">
      <c r="A6" s="57" t="s">
        <v>15</v>
      </c>
      <c r="B6" s="58">
        <f t="shared" si="1"/>
        <v>6</v>
      </c>
      <c r="C6" s="59">
        <f t="shared" si="2"/>
        <v>0</v>
      </c>
      <c r="D6" s="59">
        <f t="shared" si="3"/>
        <v>0</v>
      </c>
      <c r="E6" s="59">
        <f t="shared" si="4"/>
        <v>1</v>
      </c>
      <c r="F6" s="60">
        <f t="shared" si="5"/>
        <v>0</v>
      </c>
      <c r="I6" s="27"/>
    </row>
    <row r="7">
      <c r="A7" s="57" t="s">
        <v>16</v>
      </c>
      <c r="B7" s="58">
        <f t="shared" si="1"/>
        <v>9</v>
      </c>
      <c r="C7" s="59">
        <f t="shared" si="2"/>
        <v>3</v>
      </c>
      <c r="D7" s="59">
        <f t="shared" si="3"/>
        <v>0</v>
      </c>
      <c r="E7" s="59">
        <f t="shared" si="4"/>
        <v>0</v>
      </c>
      <c r="F7" s="60">
        <f t="shared" si="5"/>
        <v>2</v>
      </c>
      <c r="I7" s="27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47</v>
      </c>
      <c r="B9" s="66">
        <f>SWITCH(SUM(B2:B8), 0, "", SUM(B2:B8))</f>
        <v>47</v>
      </c>
      <c r="C9" s="67">
        <f t="shared" ref="C9:F9" si="6">SWITCH($B$9, "", "", SUM(C$2:C$8))</f>
        <v>9</v>
      </c>
      <c r="D9" s="67">
        <f t="shared" si="6"/>
        <v>1</v>
      </c>
      <c r="E9" s="67">
        <f t="shared" si="6"/>
        <v>5</v>
      </c>
      <c r="F9" s="67">
        <f t="shared" si="6"/>
        <v>6</v>
      </c>
    </row>
    <row r="10">
      <c r="A10" s="61" t="s">
        <v>48</v>
      </c>
      <c r="B10" s="68"/>
      <c r="C10" s="69">
        <f t="shared" ref="C10:F10" si="7">SWITCH(C$9, "", "", C$9/$B$9)</f>
        <v>0.1914893617</v>
      </c>
      <c r="D10" s="69">
        <f t="shared" si="7"/>
        <v>0.02127659574</v>
      </c>
      <c r="E10" s="69">
        <f t="shared" si="7"/>
        <v>0.1063829787</v>
      </c>
      <c r="F10" s="69">
        <f t="shared" si="7"/>
        <v>0.1276595745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46</v>
      </c>
      <c r="G1" s="9"/>
      <c r="I1" s="27"/>
    </row>
    <row r="2">
      <c r="A2" s="51" t="s">
        <v>11</v>
      </c>
      <c r="B2" s="54">
        <f t="shared" ref="B2:B8" si="1">SWITCH($A2, "", "", INDIRECT("'"&amp;$A2&amp;"'!B$6"))</f>
        <v>9</v>
      </c>
      <c r="C2" s="55">
        <f t="shared" ref="C2:C8" si="2">SWITCH($A2, "", "", INDIRECT("'"&amp;$A2&amp;"'!C$6"))</f>
        <v>0</v>
      </c>
      <c r="D2" s="55">
        <f t="shared" ref="D2:D8" si="3">SWITCH($A2, "", "", INDIRECT("'"&amp;$A2&amp;"'!D$6"))</f>
        <v>1</v>
      </c>
      <c r="E2" s="55">
        <f t="shared" ref="E2:E8" si="4">SWITCH($A2, "", "", INDIRECT("'"&amp;$A2&amp;"'!E$6"))</f>
        <v>0</v>
      </c>
      <c r="F2" s="56">
        <f t="shared" ref="F2:F8" si="5">SWITCH($A2, "", "", INDIRECT("'"&amp;$A2&amp;"'!F$6"))</f>
        <v>0</v>
      </c>
      <c r="I2" s="27"/>
    </row>
    <row r="3">
      <c r="A3" s="57" t="s">
        <v>12</v>
      </c>
      <c r="B3" s="58">
        <f t="shared" si="1"/>
        <v>9</v>
      </c>
      <c r="C3" s="59">
        <f t="shared" si="2"/>
        <v>1</v>
      </c>
      <c r="D3" s="59">
        <f t="shared" si="3"/>
        <v>1</v>
      </c>
      <c r="E3" s="59">
        <f t="shared" si="4"/>
        <v>0</v>
      </c>
      <c r="F3" s="60">
        <f t="shared" si="5"/>
        <v>2</v>
      </c>
      <c r="I3" s="27"/>
    </row>
    <row r="4">
      <c r="A4" s="57" t="s">
        <v>13</v>
      </c>
      <c r="B4" s="58">
        <f t="shared" si="1"/>
        <v>6</v>
      </c>
      <c r="C4" s="59">
        <f t="shared" si="2"/>
        <v>0</v>
      </c>
      <c r="D4" s="59">
        <f t="shared" si="3"/>
        <v>0</v>
      </c>
      <c r="E4" s="59">
        <f t="shared" si="4"/>
        <v>1</v>
      </c>
      <c r="F4" s="60">
        <f t="shared" si="5"/>
        <v>0</v>
      </c>
      <c r="I4" s="27"/>
    </row>
    <row r="5">
      <c r="A5" s="57" t="s">
        <v>14</v>
      </c>
      <c r="B5" s="58">
        <f t="shared" si="1"/>
        <v>6</v>
      </c>
      <c r="C5" s="59">
        <f t="shared" si="2"/>
        <v>0</v>
      </c>
      <c r="D5" s="59">
        <f t="shared" si="3"/>
        <v>0</v>
      </c>
      <c r="E5" s="59">
        <f t="shared" si="4"/>
        <v>0</v>
      </c>
      <c r="F5" s="60">
        <f t="shared" si="5"/>
        <v>2</v>
      </c>
      <c r="I5" s="27"/>
    </row>
    <row r="6">
      <c r="A6" s="57" t="s">
        <v>15</v>
      </c>
      <c r="B6" s="58">
        <f t="shared" si="1"/>
        <v>7</v>
      </c>
      <c r="C6" s="59">
        <f t="shared" si="2"/>
        <v>0</v>
      </c>
      <c r="D6" s="59">
        <f t="shared" si="3"/>
        <v>1</v>
      </c>
      <c r="E6" s="59">
        <f t="shared" si="4"/>
        <v>1</v>
      </c>
      <c r="F6" s="60">
        <f t="shared" si="5"/>
        <v>2</v>
      </c>
      <c r="I6" s="27"/>
    </row>
    <row r="7">
      <c r="A7" s="57" t="s">
        <v>16</v>
      </c>
      <c r="B7" s="58">
        <f t="shared" si="1"/>
        <v>12</v>
      </c>
      <c r="C7" s="59">
        <f t="shared" si="2"/>
        <v>1</v>
      </c>
      <c r="D7" s="59">
        <f t="shared" si="3"/>
        <v>2</v>
      </c>
      <c r="E7" s="59">
        <f t="shared" si="4"/>
        <v>1</v>
      </c>
      <c r="F7" s="60">
        <f t="shared" si="5"/>
        <v>3</v>
      </c>
      <c r="I7" s="27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47</v>
      </c>
      <c r="B9" s="66">
        <f>SWITCH(SUM(B2:B8), 0, "", SUM(B2:B8))</f>
        <v>49</v>
      </c>
      <c r="C9" s="67">
        <f t="shared" ref="C9:F9" si="6">SWITCH($B$9, "", "", SUM(C$2:C$8))</f>
        <v>2</v>
      </c>
      <c r="D9" s="67">
        <f t="shared" si="6"/>
        <v>5</v>
      </c>
      <c r="E9" s="67">
        <f t="shared" si="6"/>
        <v>3</v>
      </c>
      <c r="F9" s="67">
        <f t="shared" si="6"/>
        <v>9</v>
      </c>
    </row>
    <row r="10">
      <c r="A10" s="61" t="s">
        <v>48</v>
      </c>
      <c r="B10" s="68"/>
      <c r="C10" s="69">
        <f t="shared" ref="C10:F10" si="7">SWITCH(C$9, "", "", C$9/$B$9)</f>
        <v>0.04081632653</v>
      </c>
      <c r="D10" s="69">
        <f t="shared" si="7"/>
        <v>0.1020408163</v>
      </c>
      <c r="E10" s="69">
        <f t="shared" si="7"/>
        <v>0.0612244898</v>
      </c>
      <c r="F10" s="69">
        <f t="shared" si="7"/>
        <v>0.1836734694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46</v>
      </c>
      <c r="G1" s="9"/>
      <c r="I1" s="27"/>
    </row>
    <row r="2">
      <c r="A2" s="51" t="s">
        <v>11</v>
      </c>
      <c r="B2" s="54">
        <f t="shared" ref="B2:B8" si="1">SWITCH($A2, "", "", INDIRECT("'"&amp;$A2&amp;"'!B$7"))</f>
        <v>11</v>
      </c>
      <c r="C2" s="55">
        <f t="shared" ref="C2:C8" si="2">SWITCH($A2, "", "", INDIRECT("'"&amp;$A2&amp;"'!C$7"))</f>
        <v>0</v>
      </c>
      <c r="D2" s="55">
        <f t="shared" ref="D2:D8" si="3">SWITCH($A2, "", "", INDIRECT("'"&amp;$A2&amp;"'!D$7"))</f>
        <v>1</v>
      </c>
      <c r="E2" s="55">
        <f t="shared" ref="E2:E8" si="4">SWITCH($A2, "", "", INDIRECT("'"&amp;$A2&amp;"'!E$7"))</f>
        <v>0</v>
      </c>
      <c r="F2" s="56">
        <f t="shared" ref="F2:F8" si="5">SWITCH($A2, "", "", INDIRECT("'"&amp;$A2&amp;"'!F$7"))</f>
        <v>0</v>
      </c>
      <c r="I2" s="27"/>
    </row>
    <row r="3">
      <c r="A3" s="57" t="s">
        <v>12</v>
      </c>
      <c r="B3" s="58">
        <f t="shared" si="1"/>
        <v>7</v>
      </c>
      <c r="C3" s="59">
        <f t="shared" si="2"/>
        <v>0</v>
      </c>
      <c r="D3" s="59">
        <f t="shared" si="3"/>
        <v>0</v>
      </c>
      <c r="E3" s="59">
        <f t="shared" si="4"/>
        <v>0</v>
      </c>
      <c r="F3" s="60">
        <f t="shared" si="5"/>
        <v>1</v>
      </c>
      <c r="I3" s="27"/>
    </row>
    <row r="4">
      <c r="A4" s="57" t="s">
        <v>13</v>
      </c>
      <c r="B4" s="58">
        <f t="shared" si="1"/>
        <v>8</v>
      </c>
      <c r="C4" s="59">
        <f t="shared" si="2"/>
        <v>1</v>
      </c>
      <c r="D4" s="59">
        <f t="shared" si="3"/>
        <v>1</v>
      </c>
      <c r="E4" s="59">
        <f t="shared" si="4"/>
        <v>0</v>
      </c>
      <c r="F4" s="60">
        <f t="shared" si="5"/>
        <v>0</v>
      </c>
      <c r="I4" s="27"/>
    </row>
    <row r="5">
      <c r="A5" s="57" t="s">
        <v>14</v>
      </c>
      <c r="B5" s="58">
        <f t="shared" si="1"/>
        <v>7</v>
      </c>
      <c r="C5" s="59">
        <f t="shared" si="2"/>
        <v>0</v>
      </c>
      <c r="D5" s="59">
        <f t="shared" si="3"/>
        <v>0</v>
      </c>
      <c r="E5" s="59">
        <f t="shared" si="4"/>
        <v>0</v>
      </c>
      <c r="F5" s="60">
        <f t="shared" si="5"/>
        <v>0</v>
      </c>
      <c r="I5" s="27"/>
    </row>
    <row r="6">
      <c r="A6" s="57" t="s">
        <v>15</v>
      </c>
      <c r="B6" s="58">
        <f t="shared" si="1"/>
        <v>8</v>
      </c>
      <c r="C6" s="59">
        <f t="shared" si="2"/>
        <v>2</v>
      </c>
      <c r="D6" s="59">
        <f t="shared" si="3"/>
        <v>1</v>
      </c>
      <c r="E6" s="59">
        <f t="shared" si="4"/>
        <v>1</v>
      </c>
      <c r="F6" s="60">
        <f t="shared" si="5"/>
        <v>3</v>
      </c>
      <c r="I6" s="27"/>
    </row>
    <row r="7">
      <c r="A7" s="57" t="s">
        <v>16</v>
      </c>
      <c r="B7" s="58">
        <f t="shared" si="1"/>
        <v>10</v>
      </c>
      <c r="C7" s="59">
        <f t="shared" si="2"/>
        <v>0</v>
      </c>
      <c r="D7" s="59">
        <f t="shared" si="3"/>
        <v>2</v>
      </c>
      <c r="E7" s="59">
        <f t="shared" si="4"/>
        <v>1</v>
      </c>
      <c r="F7" s="60">
        <f t="shared" si="5"/>
        <v>0</v>
      </c>
      <c r="I7" s="27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47</v>
      </c>
      <c r="B9" s="66">
        <f>SWITCH(SUM(B2:B8), 0, "", SUM(B2:B8))</f>
        <v>51</v>
      </c>
      <c r="C9" s="67">
        <f t="shared" ref="C9:F9" si="6">SWITCH($B$9, "", "", SUM(C$2:C$8))</f>
        <v>3</v>
      </c>
      <c r="D9" s="67">
        <f t="shared" si="6"/>
        <v>5</v>
      </c>
      <c r="E9" s="67">
        <f t="shared" si="6"/>
        <v>2</v>
      </c>
      <c r="F9" s="67">
        <f t="shared" si="6"/>
        <v>4</v>
      </c>
    </row>
    <row r="10">
      <c r="A10" s="61" t="s">
        <v>48</v>
      </c>
      <c r="B10" s="68"/>
      <c r="C10" s="69">
        <f t="shared" ref="C10:F10" si="7">SWITCH(C$9, "", "", C$9/$B$9)</f>
        <v>0.05882352941</v>
      </c>
      <c r="D10" s="69">
        <f t="shared" si="7"/>
        <v>0.09803921569</v>
      </c>
      <c r="E10" s="69">
        <f t="shared" si="7"/>
        <v>0.03921568627</v>
      </c>
      <c r="F10" s="69">
        <f t="shared" si="7"/>
        <v>0.07843137255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46</v>
      </c>
      <c r="G1" s="9"/>
      <c r="I1" s="27"/>
    </row>
    <row r="2">
      <c r="A2" s="51" t="s">
        <v>11</v>
      </c>
      <c r="B2" s="54">
        <f t="shared" ref="B2:B8" si="1">SWITCH($A2, "", "", INDIRECT("'"&amp;$A2&amp;"'!B$8"))</f>
        <v>9</v>
      </c>
      <c r="C2" s="55">
        <f t="shared" ref="C2:C8" si="2">SWITCH($A2, "", "", INDIRECT("'"&amp;$A2&amp;"'!C$8"))</f>
        <v>1</v>
      </c>
      <c r="D2" s="55">
        <f t="shared" ref="D2:D8" si="3">SWITCH($A2, "", "", INDIRECT("'"&amp;$A2&amp;"'!D$8"))</f>
        <v>2</v>
      </c>
      <c r="E2" s="55">
        <f t="shared" ref="E2:E8" si="4">SWITCH($A2, "", "", INDIRECT("'"&amp;$A2&amp;"'!E$8"))</f>
        <v>0</v>
      </c>
      <c r="F2" s="56">
        <f t="shared" ref="F2:F8" si="5">SWITCH($A2, "", "", INDIRECT("'"&amp;$A2&amp;"'!F$8"))</f>
        <v>0</v>
      </c>
      <c r="I2" s="27"/>
    </row>
    <row r="3">
      <c r="A3" s="57" t="s">
        <v>12</v>
      </c>
      <c r="B3" s="58">
        <f t="shared" si="1"/>
        <v>7</v>
      </c>
      <c r="C3" s="59">
        <f t="shared" si="2"/>
        <v>0</v>
      </c>
      <c r="D3" s="59">
        <f t="shared" si="3"/>
        <v>0</v>
      </c>
      <c r="E3" s="59">
        <f t="shared" si="4"/>
        <v>0</v>
      </c>
      <c r="F3" s="60">
        <f t="shared" si="5"/>
        <v>2</v>
      </c>
      <c r="I3" s="27"/>
    </row>
    <row r="4">
      <c r="A4" s="57" t="s">
        <v>13</v>
      </c>
      <c r="B4" s="58">
        <f t="shared" si="1"/>
        <v>7</v>
      </c>
      <c r="C4" s="59">
        <f t="shared" si="2"/>
        <v>0</v>
      </c>
      <c r="D4" s="59">
        <f t="shared" si="3"/>
        <v>0</v>
      </c>
      <c r="E4" s="59">
        <f t="shared" si="4"/>
        <v>1</v>
      </c>
      <c r="F4" s="60">
        <f t="shared" si="5"/>
        <v>1</v>
      </c>
      <c r="I4" s="27"/>
    </row>
    <row r="5">
      <c r="A5" s="57" t="s">
        <v>14</v>
      </c>
      <c r="B5" s="58">
        <f t="shared" si="1"/>
        <v>7</v>
      </c>
      <c r="C5" s="59">
        <f t="shared" si="2"/>
        <v>0</v>
      </c>
      <c r="D5" s="59">
        <f t="shared" si="3"/>
        <v>0</v>
      </c>
      <c r="E5" s="59">
        <f t="shared" si="4"/>
        <v>1</v>
      </c>
      <c r="F5" s="60">
        <f t="shared" si="5"/>
        <v>0</v>
      </c>
      <c r="I5" s="27"/>
    </row>
    <row r="6">
      <c r="A6" s="57" t="s">
        <v>15</v>
      </c>
      <c r="B6" s="58">
        <f t="shared" si="1"/>
        <v>7</v>
      </c>
      <c r="C6" s="59">
        <f t="shared" si="2"/>
        <v>0</v>
      </c>
      <c r="D6" s="59">
        <f t="shared" si="3"/>
        <v>1</v>
      </c>
      <c r="E6" s="59">
        <f t="shared" si="4"/>
        <v>2</v>
      </c>
      <c r="F6" s="60">
        <f t="shared" si="5"/>
        <v>0</v>
      </c>
      <c r="I6" s="27"/>
    </row>
    <row r="7">
      <c r="A7" s="57" t="s">
        <v>16</v>
      </c>
      <c r="B7" s="58">
        <f t="shared" si="1"/>
        <v>11</v>
      </c>
      <c r="C7" s="59">
        <f t="shared" si="2"/>
        <v>0</v>
      </c>
      <c r="D7" s="59">
        <f t="shared" si="3"/>
        <v>1</v>
      </c>
      <c r="E7" s="59">
        <f t="shared" si="4"/>
        <v>0</v>
      </c>
      <c r="F7" s="60">
        <f t="shared" si="5"/>
        <v>2</v>
      </c>
      <c r="I7" s="27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47</v>
      </c>
      <c r="B9" s="66">
        <f>SWITCH(SUM(B2:B8), 0, "", SUM(B2:B8))</f>
        <v>48</v>
      </c>
      <c r="C9" s="67">
        <f t="shared" ref="C9:F9" si="6">SWITCH($B$9, "", "", SUM(C$2:C$8))</f>
        <v>1</v>
      </c>
      <c r="D9" s="67">
        <f t="shared" si="6"/>
        <v>4</v>
      </c>
      <c r="E9" s="67">
        <f t="shared" si="6"/>
        <v>4</v>
      </c>
      <c r="F9" s="67">
        <f t="shared" si="6"/>
        <v>5</v>
      </c>
    </row>
    <row r="10">
      <c r="A10" s="61" t="s">
        <v>48</v>
      </c>
      <c r="B10" s="68"/>
      <c r="C10" s="69">
        <f t="shared" ref="C10:F10" si="7">SWITCH(C$9, "", "", C$9/$B$9)</f>
        <v>0.02083333333</v>
      </c>
      <c r="D10" s="69">
        <f t="shared" si="7"/>
        <v>0.08333333333</v>
      </c>
      <c r="E10" s="69">
        <f t="shared" si="7"/>
        <v>0.08333333333</v>
      </c>
      <c r="F10" s="69">
        <f t="shared" si="7"/>
        <v>0.1041666667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46</v>
      </c>
      <c r="G1" s="9"/>
      <c r="I1" s="27"/>
    </row>
    <row r="2">
      <c r="A2" s="51" t="s">
        <v>11</v>
      </c>
      <c r="B2" s="54">
        <f t="shared" ref="B2:B8" si="1">SWITCH($A2, "", "", INDIRECT("'"&amp;$A2&amp;"'!B$9"))</f>
        <v>11</v>
      </c>
      <c r="C2" s="55">
        <f t="shared" ref="C2:C8" si="2">SWITCH($A2, "", "", INDIRECT("'"&amp;$A2&amp;"'!C$9"))</f>
        <v>2</v>
      </c>
      <c r="D2" s="55">
        <f t="shared" ref="D2:D8" si="3">SWITCH($A2, "", "", INDIRECT("'"&amp;$A2&amp;"'!D$9"))</f>
        <v>3</v>
      </c>
      <c r="E2" s="55">
        <f t="shared" ref="E2:E8" si="4">SWITCH($A2, "", "", INDIRECT("'"&amp;$A2&amp;"'!E$9"))</f>
        <v>0</v>
      </c>
      <c r="F2" s="56">
        <f t="shared" ref="F2:F8" si="5">SWITCH($A2, "", "", INDIRECT("'"&amp;$A2&amp;"'!F$9"))</f>
        <v>3</v>
      </c>
      <c r="I2" s="27"/>
    </row>
    <row r="3">
      <c r="A3" s="57" t="s">
        <v>12</v>
      </c>
      <c r="B3" s="58">
        <f t="shared" si="1"/>
        <v>8</v>
      </c>
      <c r="C3" s="59">
        <f t="shared" si="2"/>
        <v>0</v>
      </c>
      <c r="D3" s="59">
        <f t="shared" si="3"/>
        <v>2</v>
      </c>
      <c r="E3" s="59">
        <f t="shared" si="4"/>
        <v>0</v>
      </c>
      <c r="F3" s="60">
        <f t="shared" si="5"/>
        <v>0</v>
      </c>
      <c r="I3" s="27"/>
    </row>
    <row r="4">
      <c r="A4" s="57" t="s">
        <v>13</v>
      </c>
      <c r="B4" s="58">
        <f t="shared" si="1"/>
        <v>6</v>
      </c>
      <c r="C4" s="59">
        <f t="shared" si="2"/>
        <v>0</v>
      </c>
      <c r="D4" s="59">
        <f t="shared" si="3"/>
        <v>2</v>
      </c>
      <c r="E4" s="59">
        <f t="shared" si="4"/>
        <v>0</v>
      </c>
      <c r="F4" s="60">
        <f t="shared" si="5"/>
        <v>0</v>
      </c>
      <c r="I4" s="27"/>
    </row>
    <row r="5">
      <c r="A5" s="57" t="s">
        <v>14</v>
      </c>
      <c r="B5" s="58">
        <f t="shared" si="1"/>
        <v>6</v>
      </c>
      <c r="C5" s="59">
        <f t="shared" si="2"/>
        <v>1</v>
      </c>
      <c r="D5" s="59">
        <f t="shared" si="3"/>
        <v>0</v>
      </c>
      <c r="E5" s="59">
        <f t="shared" si="4"/>
        <v>0</v>
      </c>
      <c r="F5" s="60">
        <f t="shared" si="5"/>
        <v>3</v>
      </c>
      <c r="I5" s="27"/>
    </row>
    <row r="6">
      <c r="A6" s="57" t="s">
        <v>15</v>
      </c>
      <c r="B6" s="58">
        <f t="shared" si="1"/>
        <v>6</v>
      </c>
      <c r="C6" s="59">
        <f t="shared" si="2"/>
        <v>1</v>
      </c>
      <c r="D6" s="59">
        <f t="shared" si="3"/>
        <v>0</v>
      </c>
      <c r="E6" s="59">
        <f t="shared" si="4"/>
        <v>1</v>
      </c>
      <c r="F6" s="60">
        <f t="shared" si="5"/>
        <v>0</v>
      </c>
      <c r="I6" s="27"/>
    </row>
    <row r="7">
      <c r="A7" s="57" t="s">
        <v>16</v>
      </c>
      <c r="B7" s="58">
        <f t="shared" si="1"/>
        <v>9</v>
      </c>
      <c r="C7" s="59">
        <f t="shared" si="2"/>
        <v>0</v>
      </c>
      <c r="D7" s="59">
        <f t="shared" si="3"/>
        <v>2</v>
      </c>
      <c r="E7" s="59">
        <f t="shared" si="4"/>
        <v>1</v>
      </c>
      <c r="F7" s="60">
        <f t="shared" si="5"/>
        <v>2</v>
      </c>
      <c r="I7" s="27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47</v>
      </c>
      <c r="B9" s="66">
        <f>SWITCH(SUM(B2:B8), 0, "", SUM(B2:B8))</f>
        <v>46</v>
      </c>
      <c r="C9" s="67">
        <f t="shared" ref="C9:F9" si="6">SWITCH($B$9, "", "", SUM(C$2:C$8))</f>
        <v>4</v>
      </c>
      <c r="D9" s="67">
        <f t="shared" si="6"/>
        <v>9</v>
      </c>
      <c r="E9" s="67">
        <f t="shared" si="6"/>
        <v>2</v>
      </c>
      <c r="F9" s="67">
        <f t="shared" si="6"/>
        <v>8</v>
      </c>
    </row>
    <row r="10">
      <c r="A10" s="61" t="s">
        <v>48</v>
      </c>
      <c r="B10" s="68"/>
      <c r="C10" s="69">
        <f t="shared" ref="C10:F10" si="7">SWITCH(C$9, "", "", C$9/$B$9)</f>
        <v>0.08695652174</v>
      </c>
      <c r="D10" s="69">
        <f t="shared" si="7"/>
        <v>0.1956521739</v>
      </c>
      <c r="E10" s="69">
        <f t="shared" si="7"/>
        <v>0.04347826087</v>
      </c>
      <c r="F10" s="69">
        <f t="shared" si="7"/>
        <v>0.1739130435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46</v>
      </c>
      <c r="G1" s="9"/>
      <c r="I1" s="27"/>
    </row>
    <row r="2">
      <c r="A2" s="51" t="s">
        <v>11</v>
      </c>
      <c r="B2" s="54">
        <f t="shared" ref="B2:B8" si="1">SWITCH($A2, "", "", INDIRECT("'"&amp;$A2&amp;"'!B$10"))</f>
        <v>2</v>
      </c>
      <c r="C2" s="55">
        <f t="shared" ref="C2:C8" si="2">SWITCH($A2, "", "", INDIRECT("'"&amp;$A2&amp;"'!C$10"))</f>
        <v>1</v>
      </c>
      <c r="D2" s="55">
        <f t="shared" ref="D2:D8" si="3">SWITCH($A2, "", "", INDIRECT("'"&amp;$A2&amp;"'!D$10"))</f>
        <v>0</v>
      </c>
      <c r="E2" s="55">
        <f t="shared" ref="E2:E8" si="4">SWITCH($A2, "", "", INDIRECT("'"&amp;$A2&amp;"'!E$10"))</f>
        <v>0</v>
      </c>
      <c r="F2" s="56">
        <f t="shared" ref="F2:F8" si="5">SWITCH($A2, "", "", INDIRECT("'"&amp;$A2&amp;"'!F$10"))</f>
        <v>0</v>
      </c>
      <c r="I2" s="27"/>
    </row>
    <row r="3">
      <c r="A3" s="57" t="s">
        <v>12</v>
      </c>
      <c r="B3" s="58">
        <f t="shared" si="1"/>
        <v>5</v>
      </c>
      <c r="C3" s="59">
        <f t="shared" si="2"/>
        <v>0</v>
      </c>
      <c r="D3" s="59">
        <f t="shared" si="3"/>
        <v>1</v>
      </c>
      <c r="E3" s="59">
        <f t="shared" si="4"/>
        <v>0</v>
      </c>
      <c r="F3" s="60">
        <f t="shared" si="5"/>
        <v>0</v>
      </c>
      <c r="I3" s="27"/>
    </row>
    <row r="4">
      <c r="A4" s="57" t="s">
        <v>13</v>
      </c>
      <c r="B4" s="58">
        <f t="shared" si="1"/>
        <v>5</v>
      </c>
      <c r="C4" s="59">
        <f t="shared" si="2"/>
        <v>1</v>
      </c>
      <c r="D4" s="59">
        <f t="shared" si="3"/>
        <v>0</v>
      </c>
      <c r="E4" s="59">
        <f t="shared" si="4"/>
        <v>0</v>
      </c>
      <c r="F4" s="60">
        <f t="shared" si="5"/>
        <v>1</v>
      </c>
      <c r="I4" s="27"/>
    </row>
    <row r="5">
      <c r="A5" s="57" t="s">
        <v>14</v>
      </c>
      <c r="B5" s="58">
        <f t="shared" si="1"/>
        <v>5</v>
      </c>
      <c r="C5" s="59">
        <f t="shared" si="2"/>
        <v>0</v>
      </c>
      <c r="D5" s="59">
        <f t="shared" si="3"/>
        <v>0</v>
      </c>
      <c r="E5" s="59">
        <f t="shared" si="4"/>
        <v>0</v>
      </c>
      <c r="F5" s="60">
        <f t="shared" si="5"/>
        <v>0</v>
      </c>
      <c r="I5" s="27"/>
    </row>
    <row r="6">
      <c r="A6" s="57" t="s">
        <v>15</v>
      </c>
      <c r="B6" s="58">
        <f t="shared" si="1"/>
        <v>1</v>
      </c>
      <c r="C6" s="59">
        <f t="shared" si="2"/>
        <v>0</v>
      </c>
      <c r="D6" s="59">
        <f t="shared" si="3"/>
        <v>0</v>
      </c>
      <c r="E6" s="59">
        <f t="shared" si="4"/>
        <v>0</v>
      </c>
      <c r="F6" s="60">
        <f t="shared" si="5"/>
        <v>0</v>
      </c>
      <c r="I6" s="27"/>
    </row>
    <row r="7">
      <c r="A7" s="57" t="s">
        <v>16</v>
      </c>
      <c r="B7" s="58">
        <f t="shared" si="1"/>
        <v>5</v>
      </c>
      <c r="C7" s="59">
        <f t="shared" si="2"/>
        <v>0</v>
      </c>
      <c r="D7" s="59">
        <f t="shared" si="3"/>
        <v>0</v>
      </c>
      <c r="E7" s="59">
        <f t="shared" si="4"/>
        <v>0</v>
      </c>
      <c r="F7" s="60">
        <f t="shared" si="5"/>
        <v>0</v>
      </c>
      <c r="I7" s="27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47</v>
      </c>
      <c r="B9" s="66">
        <f>SWITCH(SUM(B2:B8), 0, "", SUM(B2:B8))</f>
        <v>23</v>
      </c>
      <c r="C9" s="67">
        <f t="shared" ref="C9:F9" si="6">SWITCH($B$9, "", "", SUM(C$2:C$8))</f>
        <v>2</v>
      </c>
      <c r="D9" s="67">
        <f t="shared" si="6"/>
        <v>1</v>
      </c>
      <c r="E9" s="67">
        <f t="shared" si="6"/>
        <v>0</v>
      </c>
      <c r="F9" s="67">
        <f t="shared" si="6"/>
        <v>1</v>
      </c>
    </row>
    <row r="10">
      <c r="A10" s="61" t="s">
        <v>48</v>
      </c>
      <c r="B10" s="68"/>
      <c r="C10" s="69">
        <f t="shared" ref="C10:F10" si="7">SWITCH(C$9, "", "", C$9/$B$9)</f>
        <v>0.08695652174</v>
      </c>
      <c r="D10" s="69">
        <f t="shared" si="7"/>
        <v>0.04347826087</v>
      </c>
      <c r="E10" s="69">
        <f t="shared" si="7"/>
        <v>0</v>
      </c>
      <c r="F10" s="69">
        <f t="shared" si="7"/>
        <v>0.04347826087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46</v>
      </c>
      <c r="G1" s="9"/>
      <c r="I1" s="27"/>
    </row>
    <row r="2">
      <c r="A2" s="51" t="s">
        <v>11</v>
      </c>
      <c r="B2" s="54">
        <f t="shared" ref="B2:B8" si="1">SWITCH($A2, "", "", INDIRECT("'"&amp;$A2&amp;"'!B$11"))</f>
        <v>1</v>
      </c>
      <c r="C2" s="55">
        <f t="shared" ref="C2:C8" si="2">SWITCH($A2, "", "", INDIRECT("'"&amp;$A2&amp;"'!C$11"))</f>
        <v>1</v>
      </c>
      <c r="D2" s="55">
        <f t="shared" ref="D2:D8" si="3">SWITCH($A2, "", "", INDIRECT("'"&amp;$A2&amp;"'!D$11"))</f>
        <v>0</v>
      </c>
      <c r="E2" s="55">
        <f t="shared" ref="E2:E8" si="4">SWITCH($A2, "", "", INDIRECT("'"&amp;$A2&amp;"'!E$11"))</f>
        <v>0</v>
      </c>
      <c r="F2" s="56">
        <f t="shared" ref="F2:F8" si="5">SWITCH($A2, "", "", INDIRECT("'"&amp;$A2&amp;"'!F$11"))</f>
        <v>0</v>
      </c>
      <c r="I2" s="27"/>
    </row>
    <row r="3">
      <c r="A3" s="57" t="s">
        <v>12</v>
      </c>
      <c r="B3" s="58">
        <f t="shared" si="1"/>
        <v>4</v>
      </c>
      <c r="C3" s="59">
        <f t="shared" si="2"/>
        <v>0</v>
      </c>
      <c r="D3" s="59">
        <f t="shared" si="3"/>
        <v>0</v>
      </c>
      <c r="E3" s="59">
        <f t="shared" si="4"/>
        <v>0</v>
      </c>
      <c r="F3" s="60">
        <f t="shared" si="5"/>
        <v>0</v>
      </c>
      <c r="I3" s="27"/>
    </row>
    <row r="4">
      <c r="A4" s="57" t="s">
        <v>13</v>
      </c>
      <c r="B4" s="58">
        <f t="shared" si="1"/>
        <v>5</v>
      </c>
      <c r="C4" s="59">
        <f t="shared" si="2"/>
        <v>1</v>
      </c>
      <c r="D4" s="59">
        <f t="shared" si="3"/>
        <v>1</v>
      </c>
      <c r="E4" s="59">
        <f t="shared" si="4"/>
        <v>0</v>
      </c>
      <c r="F4" s="60">
        <f t="shared" si="5"/>
        <v>1</v>
      </c>
      <c r="I4" s="27"/>
    </row>
    <row r="5">
      <c r="A5" s="57" t="s">
        <v>14</v>
      </c>
      <c r="B5" s="58">
        <f t="shared" si="1"/>
        <v>4</v>
      </c>
      <c r="C5" s="59">
        <f t="shared" si="2"/>
        <v>0</v>
      </c>
      <c r="D5" s="59">
        <f t="shared" si="3"/>
        <v>0</v>
      </c>
      <c r="E5" s="59">
        <f t="shared" si="4"/>
        <v>0</v>
      </c>
      <c r="F5" s="60">
        <f t="shared" si="5"/>
        <v>1</v>
      </c>
      <c r="I5" s="27"/>
    </row>
    <row r="6">
      <c r="A6" s="57" t="s">
        <v>15</v>
      </c>
      <c r="B6" s="58">
        <f t="shared" si="1"/>
        <v>1</v>
      </c>
      <c r="C6" s="59">
        <f t="shared" si="2"/>
        <v>1</v>
      </c>
      <c r="D6" s="59">
        <f t="shared" si="3"/>
        <v>0</v>
      </c>
      <c r="E6" s="59">
        <f t="shared" si="4"/>
        <v>0</v>
      </c>
      <c r="F6" s="60">
        <f t="shared" si="5"/>
        <v>0</v>
      </c>
      <c r="I6" s="27"/>
    </row>
    <row r="7">
      <c r="A7" s="57" t="s">
        <v>16</v>
      </c>
      <c r="B7" s="58">
        <f t="shared" si="1"/>
        <v>7</v>
      </c>
      <c r="C7" s="59">
        <f t="shared" si="2"/>
        <v>1</v>
      </c>
      <c r="D7" s="59">
        <f t="shared" si="3"/>
        <v>1</v>
      </c>
      <c r="E7" s="59">
        <f t="shared" si="4"/>
        <v>0</v>
      </c>
      <c r="F7" s="60">
        <f t="shared" si="5"/>
        <v>0</v>
      </c>
      <c r="I7" s="27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47</v>
      </c>
      <c r="B9" s="66">
        <f>SWITCH(SUM(B2:B8), 0, "", SUM(B2:B8))</f>
        <v>22</v>
      </c>
      <c r="C9" s="67">
        <f t="shared" ref="C9:F9" si="6">SWITCH($B$9, "", "", SUM(C$2:C$8))</f>
        <v>4</v>
      </c>
      <c r="D9" s="67">
        <f t="shared" si="6"/>
        <v>2</v>
      </c>
      <c r="E9" s="67">
        <f t="shared" si="6"/>
        <v>0</v>
      </c>
      <c r="F9" s="67">
        <f t="shared" si="6"/>
        <v>2</v>
      </c>
    </row>
    <row r="10">
      <c r="A10" s="61" t="s">
        <v>48</v>
      </c>
      <c r="B10" s="68"/>
      <c r="C10" s="69">
        <f t="shared" ref="C10:F10" si="7">SWITCH(C$9, "", "", C$9/$B$9)</f>
        <v>0.1818181818</v>
      </c>
      <c r="D10" s="69">
        <f t="shared" si="7"/>
        <v>0.09090909091</v>
      </c>
      <c r="E10" s="69">
        <f t="shared" si="7"/>
        <v>0</v>
      </c>
      <c r="F10" s="69">
        <f t="shared" si="7"/>
        <v>0.09090909091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46</v>
      </c>
      <c r="G1" s="9"/>
      <c r="I1" s="27"/>
    </row>
    <row r="2">
      <c r="A2" s="51" t="s">
        <v>11</v>
      </c>
      <c r="B2" s="54">
        <f t="shared" ref="B2:B8" si="1">SWITCH($A2, "", "", INDIRECT("'"&amp;$A2&amp;"'!B$12"))</f>
        <v>0</v>
      </c>
      <c r="C2" s="55">
        <f t="shared" ref="C2:C8" si="2">SWITCH($A2, "", "", INDIRECT("'"&amp;$A2&amp;"'!C$12"))</f>
        <v>0</v>
      </c>
      <c r="D2" s="55">
        <f t="shared" ref="D2:D8" si="3">SWITCH($A2, "", "", INDIRECT("'"&amp;$A2&amp;"'!D$12"))</f>
        <v>0</v>
      </c>
      <c r="E2" s="55">
        <f t="shared" ref="E2:E8" si="4">SWITCH($A2, "", "", INDIRECT("'"&amp;$A2&amp;"'!E$12"))</f>
        <v>0</v>
      </c>
      <c r="F2" s="56">
        <f t="shared" ref="F2:F8" si="5">SWITCH($A2, "", "", INDIRECT("'"&amp;$A2&amp;"'!F$12"))</f>
        <v>0</v>
      </c>
      <c r="I2" s="27"/>
    </row>
    <row r="3">
      <c r="A3" s="57" t="s">
        <v>12</v>
      </c>
      <c r="B3" s="58">
        <f t="shared" si="1"/>
        <v>2</v>
      </c>
      <c r="C3" s="59">
        <f t="shared" si="2"/>
        <v>0</v>
      </c>
      <c r="D3" s="59">
        <f t="shared" si="3"/>
        <v>0</v>
      </c>
      <c r="E3" s="59">
        <f t="shared" si="4"/>
        <v>0</v>
      </c>
      <c r="F3" s="60">
        <f t="shared" si="5"/>
        <v>0</v>
      </c>
      <c r="I3" s="27"/>
    </row>
    <row r="4">
      <c r="A4" s="57" t="s">
        <v>13</v>
      </c>
      <c r="B4" s="58">
        <f t="shared" si="1"/>
        <v>4</v>
      </c>
      <c r="C4" s="59">
        <f t="shared" si="2"/>
        <v>1</v>
      </c>
      <c r="D4" s="59">
        <f t="shared" si="3"/>
        <v>0</v>
      </c>
      <c r="E4" s="59">
        <f t="shared" si="4"/>
        <v>1</v>
      </c>
      <c r="F4" s="60">
        <f t="shared" si="5"/>
        <v>4</v>
      </c>
      <c r="I4" s="27"/>
    </row>
    <row r="5">
      <c r="A5" s="57" t="s">
        <v>14</v>
      </c>
      <c r="B5" s="58">
        <f t="shared" si="1"/>
        <v>2</v>
      </c>
      <c r="C5" s="59">
        <f t="shared" si="2"/>
        <v>0</v>
      </c>
      <c r="D5" s="59">
        <f t="shared" si="3"/>
        <v>0</v>
      </c>
      <c r="E5" s="59">
        <f t="shared" si="4"/>
        <v>0</v>
      </c>
      <c r="F5" s="60">
        <f t="shared" si="5"/>
        <v>1</v>
      </c>
      <c r="I5" s="27"/>
    </row>
    <row r="6">
      <c r="A6" s="57" t="s">
        <v>15</v>
      </c>
      <c r="B6" s="58">
        <f t="shared" si="1"/>
        <v>1</v>
      </c>
      <c r="C6" s="59">
        <f t="shared" si="2"/>
        <v>0</v>
      </c>
      <c r="D6" s="59">
        <f t="shared" si="3"/>
        <v>0</v>
      </c>
      <c r="E6" s="59">
        <f t="shared" si="4"/>
        <v>0</v>
      </c>
      <c r="F6" s="60">
        <f t="shared" si="5"/>
        <v>0</v>
      </c>
      <c r="I6" s="27"/>
    </row>
    <row r="7">
      <c r="A7" s="57" t="s">
        <v>16</v>
      </c>
      <c r="B7" s="58">
        <f t="shared" si="1"/>
        <v>1</v>
      </c>
      <c r="C7" s="59">
        <f t="shared" si="2"/>
        <v>0</v>
      </c>
      <c r="D7" s="59">
        <f t="shared" si="3"/>
        <v>0</v>
      </c>
      <c r="E7" s="59">
        <f t="shared" si="4"/>
        <v>0</v>
      </c>
      <c r="F7" s="60">
        <f t="shared" si="5"/>
        <v>0</v>
      </c>
      <c r="I7" s="27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47</v>
      </c>
      <c r="B9" s="66">
        <f>SWITCH(SUM(B2:B8), 0, "", SUM(B2:B8))</f>
        <v>10</v>
      </c>
      <c r="C9" s="67">
        <f t="shared" ref="C9:F9" si="6">SWITCH($B$9, "", "", SUM(C$2:C$8))</f>
        <v>1</v>
      </c>
      <c r="D9" s="67">
        <f t="shared" si="6"/>
        <v>0</v>
      </c>
      <c r="E9" s="67">
        <f t="shared" si="6"/>
        <v>1</v>
      </c>
      <c r="F9" s="67">
        <f t="shared" si="6"/>
        <v>5</v>
      </c>
    </row>
    <row r="10">
      <c r="A10" s="61" t="s">
        <v>48</v>
      </c>
      <c r="B10" s="68"/>
      <c r="C10" s="69">
        <f t="shared" ref="C10:F10" si="7">SWITCH(C$9, "", "", C$9/$B$9)</f>
        <v>0.1</v>
      </c>
      <c r="D10" s="69">
        <f t="shared" si="7"/>
        <v>0</v>
      </c>
      <c r="E10" s="69">
        <f t="shared" si="7"/>
        <v>0.1</v>
      </c>
      <c r="F10" s="69">
        <f t="shared" si="7"/>
        <v>0.5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46</v>
      </c>
      <c r="G1" s="9"/>
      <c r="I1" s="27"/>
    </row>
    <row r="2">
      <c r="A2" s="51" t="s">
        <v>11</v>
      </c>
      <c r="B2" s="54">
        <f t="shared" ref="B2:B8" si="1">SWITCH($A2, "", "", INDIRECT("'"&amp;$A2&amp;"'!B$13"))</f>
        <v>7</v>
      </c>
      <c r="C2" s="55">
        <f t="shared" ref="C2:C8" si="2">SWITCH($A2, "", "", INDIRECT("'"&amp;$A2&amp;"'!C$13"))</f>
        <v>0</v>
      </c>
      <c r="D2" s="55">
        <f t="shared" ref="D2:D8" si="3">SWITCH($A2, "", "", INDIRECT("'"&amp;$A2&amp;"'!D$13"))</f>
        <v>0</v>
      </c>
      <c r="E2" s="55">
        <f t="shared" ref="E2:E8" si="4">SWITCH($A2, "", "", INDIRECT("'"&amp;$A2&amp;"'!E$13"))</f>
        <v>0</v>
      </c>
      <c r="F2" s="56">
        <f t="shared" ref="F2:F8" si="5">SWITCH($A2, "", "", INDIRECT("'"&amp;$A2&amp;"'!F$13"))</f>
        <v>1</v>
      </c>
      <c r="I2" s="27"/>
    </row>
    <row r="3">
      <c r="A3" s="57" t="s">
        <v>12</v>
      </c>
      <c r="B3" s="58">
        <f t="shared" si="1"/>
        <v>6</v>
      </c>
      <c r="C3" s="59">
        <f t="shared" si="2"/>
        <v>0</v>
      </c>
      <c r="D3" s="59">
        <f t="shared" si="3"/>
        <v>0</v>
      </c>
      <c r="E3" s="59">
        <f t="shared" si="4"/>
        <v>0</v>
      </c>
      <c r="F3" s="60">
        <f t="shared" si="5"/>
        <v>1</v>
      </c>
      <c r="I3" s="27"/>
    </row>
    <row r="4">
      <c r="A4" s="57" t="s">
        <v>13</v>
      </c>
      <c r="B4" s="58">
        <f t="shared" si="1"/>
        <v>6</v>
      </c>
      <c r="C4" s="59">
        <f t="shared" si="2"/>
        <v>1</v>
      </c>
      <c r="D4" s="59">
        <f t="shared" si="3"/>
        <v>0</v>
      </c>
      <c r="E4" s="59">
        <f t="shared" si="4"/>
        <v>1</v>
      </c>
      <c r="F4" s="60">
        <f t="shared" si="5"/>
        <v>1</v>
      </c>
      <c r="I4" s="27"/>
    </row>
    <row r="5">
      <c r="A5" s="57" t="s">
        <v>14</v>
      </c>
      <c r="B5" s="58">
        <f t="shared" si="1"/>
        <v>4</v>
      </c>
      <c r="C5" s="59">
        <f t="shared" si="2"/>
        <v>0</v>
      </c>
      <c r="D5" s="59">
        <f t="shared" si="3"/>
        <v>0</v>
      </c>
      <c r="E5" s="59">
        <f t="shared" si="4"/>
        <v>0</v>
      </c>
      <c r="F5" s="60">
        <f t="shared" si="5"/>
        <v>3</v>
      </c>
      <c r="I5" s="27"/>
    </row>
    <row r="6">
      <c r="A6" s="57" t="s">
        <v>15</v>
      </c>
      <c r="B6" s="58">
        <f t="shared" si="1"/>
        <v>6</v>
      </c>
      <c r="C6" s="59">
        <f t="shared" si="2"/>
        <v>0</v>
      </c>
      <c r="D6" s="59">
        <f t="shared" si="3"/>
        <v>0</v>
      </c>
      <c r="E6" s="59">
        <f t="shared" si="4"/>
        <v>0</v>
      </c>
      <c r="F6" s="60">
        <f t="shared" si="5"/>
        <v>0</v>
      </c>
      <c r="I6" s="27"/>
    </row>
    <row r="7">
      <c r="A7" s="57" t="s">
        <v>16</v>
      </c>
      <c r="B7" s="58">
        <f t="shared" si="1"/>
        <v>6</v>
      </c>
      <c r="C7" s="59">
        <f t="shared" si="2"/>
        <v>0</v>
      </c>
      <c r="D7" s="59">
        <f t="shared" si="3"/>
        <v>1</v>
      </c>
      <c r="E7" s="59">
        <f t="shared" si="4"/>
        <v>1</v>
      </c>
      <c r="F7" s="60">
        <f t="shared" si="5"/>
        <v>1</v>
      </c>
      <c r="I7" s="27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47</v>
      </c>
      <c r="B9" s="66">
        <f>SWITCH(SUM(B2:B8), 0, "", SUM(B2:B8))</f>
        <v>35</v>
      </c>
      <c r="C9" s="67">
        <f t="shared" ref="C9:F9" si="6">SWITCH($B$9, "", "", SUM(C$2:C$8))</f>
        <v>1</v>
      </c>
      <c r="D9" s="67">
        <f t="shared" si="6"/>
        <v>1</v>
      </c>
      <c r="E9" s="67">
        <f t="shared" si="6"/>
        <v>2</v>
      </c>
      <c r="F9" s="67">
        <f t="shared" si="6"/>
        <v>7</v>
      </c>
    </row>
    <row r="10">
      <c r="A10" s="61" t="s">
        <v>48</v>
      </c>
      <c r="B10" s="68"/>
      <c r="C10" s="69">
        <f t="shared" ref="C10:F10" si="7">SWITCH(C$9, "", "", C$9/$B$9)</f>
        <v>0.02857142857</v>
      </c>
      <c r="D10" s="69">
        <f t="shared" si="7"/>
        <v>0.02857142857</v>
      </c>
      <c r="E10" s="69">
        <f t="shared" si="7"/>
        <v>0.05714285714</v>
      </c>
      <c r="F10" s="69">
        <f t="shared" si="7"/>
        <v>0.2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46</v>
      </c>
      <c r="G1" s="9"/>
      <c r="I1" s="27"/>
    </row>
    <row r="2">
      <c r="A2" s="51" t="s">
        <v>11</v>
      </c>
      <c r="B2" s="54" t="str">
        <f t="shared" ref="B2:B8" si="1">SWITCH($A2, "", "", INDIRECT("'"&amp;$A2&amp;"'!B$14"))</f>
        <v/>
      </c>
      <c r="C2" s="55" t="str">
        <f t="shared" ref="C2:C8" si="2">SWITCH($A2, "", "", INDIRECT("'"&amp;$A2&amp;"'!C$14"))</f>
        <v/>
      </c>
      <c r="D2" s="55" t="str">
        <f t="shared" ref="D2:D8" si="3">SWITCH($A2, "", "", INDIRECT("'"&amp;$A2&amp;"'!D$14"))</f>
        <v/>
      </c>
      <c r="E2" s="55" t="str">
        <f t="shared" ref="E2:E8" si="4">SWITCH($A2, "", "", INDIRECT("'"&amp;$A2&amp;"'!E$14"))</f>
        <v/>
      </c>
      <c r="F2" s="56" t="str">
        <f t="shared" ref="F2:F8" si="5">SWITCH($A2, "", "", INDIRECT("'"&amp;$A2&amp;"'!F$14"))</f>
        <v/>
      </c>
      <c r="I2" s="27"/>
    </row>
    <row r="3">
      <c r="A3" s="57" t="s">
        <v>12</v>
      </c>
      <c r="B3" s="58" t="str">
        <f t="shared" si="1"/>
        <v/>
      </c>
      <c r="C3" s="59" t="str">
        <f t="shared" si="2"/>
        <v/>
      </c>
      <c r="D3" s="59" t="str">
        <f t="shared" si="3"/>
        <v/>
      </c>
      <c r="E3" s="59" t="str">
        <f t="shared" si="4"/>
        <v/>
      </c>
      <c r="F3" s="60" t="str">
        <f t="shared" si="5"/>
        <v/>
      </c>
      <c r="I3" s="27"/>
    </row>
    <row r="4">
      <c r="A4" s="57" t="s">
        <v>13</v>
      </c>
      <c r="B4" s="58" t="str">
        <f t="shared" si="1"/>
        <v/>
      </c>
      <c r="C4" s="59" t="str">
        <f t="shared" si="2"/>
        <v/>
      </c>
      <c r="D4" s="59" t="str">
        <f t="shared" si="3"/>
        <v/>
      </c>
      <c r="E4" s="59" t="str">
        <f t="shared" si="4"/>
        <v/>
      </c>
      <c r="F4" s="60" t="str">
        <f t="shared" si="5"/>
        <v/>
      </c>
      <c r="I4" s="27"/>
    </row>
    <row r="5">
      <c r="A5" s="57" t="s">
        <v>14</v>
      </c>
      <c r="B5" s="58" t="str">
        <f t="shared" si="1"/>
        <v/>
      </c>
      <c r="C5" s="59" t="str">
        <f t="shared" si="2"/>
        <v/>
      </c>
      <c r="D5" s="59" t="str">
        <f t="shared" si="3"/>
        <v/>
      </c>
      <c r="E5" s="59" t="str">
        <f t="shared" si="4"/>
        <v/>
      </c>
      <c r="F5" s="60" t="str">
        <f t="shared" si="5"/>
        <v/>
      </c>
      <c r="I5" s="27"/>
    </row>
    <row r="6">
      <c r="A6" s="57" t="s">
        <v>15</v>
      </c>
      <c r="B6" s="58" t="str">
        <f t="shared" si="1"/>
        <v/>
      </c>
      <c r="C6" s="59" t="str">
        <f t="shared" si="2"/>
        <v/>
      </c>
      <c r="D6" s="59" t="str">
        <f t="shared" si="3"/>
        <v/>
      </c>
      <c r="E6" s="59" t="str">
        <f t="shared" si="4"/>
        <v/>
      </c>
      <c r="F6" s="60" t="str">
        <f t="shared" si="5"/>
        <v/>
      </c>
      <c r="I6" s="27"/>
    </row>
    <row r="7">
      <c r="A7" s="57" t="s">
        <v>16</v>
      </c>
      <c r="B7" s="58" t="str">
        <f t="shared" si="1"/>
        <v/>
      </c>
      <c r="C7" s="59" t="str">
        <f t="shared" si="2"/>
        <v/>
      </c>
      <c r="D7" s="59" t="str">
        <f t="shared" si="3"/>
        <v/>
      </c>
      <c r="E7" s="59" t="str">
        <f t="shared" si="4"/>
        <v/>
      </c>
      <c r="F7" s="60" t="str">
        <f t="shared" si="5"/>
        <v/>
      </c>
      <c r="I7" s="27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47</v>
      </c>
      <c r="B9" s="66" t="str">
        <f>SWITCH(SUM(B2:B8), 0, "", SUM(B2:B8))</f>
        <v/>
      </c>
      <c r="C9" s="67" t="str">
        <f t="shared" ref="C9:F9" si="6">SWITCH($B$9, "", "", SUM(C$2:C$8))</f>
        <v/>
      </c>
      <c r="D9" s="67" t="str">
        <f t="shared" si="6"/>
        <v/>
      </c>
      <c r="E9" s="67" t="str">
        <f t="shared" si="6"/>
        <v/>
      </c>
      <c r="F9" s="67" t="str">
        <f t="shared" si="6"/>
        <v/>
      </c>
    </row>
    <row r="10">
      <c r="A10" s="61" t="s">
        <v>48</v>
      </c>
      <c r="B10" s="68"/>
      <c r="C10" s="69" t="str">
        <f t="shared" ref="C10:F10" si="7">SWITCH(C$9, "", "", C$9/$B$9)</f>
        <v/>
      </c>
      <c r="D10" s="69" t="str">
        <f t="shared" si="7"/>
        <v/>
      </c>
      <c r="E10" s="69" t="str">
        <f t="shared" si="7"/>
        <v/>
      </c>
      <c r="F10" s="69" t="str">
        <f t="shared" si="7"/>
        <v/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46</v>
      </c>
      <c r="G1" s="9"/>
      <c r="I1" s="27"/>
    </row>
    <row r="2">
      <c r="A2" s="51" t="s">
        <v>11</v>
      </c>
      <c r="B2" s="54">
        <f t="shared" ref="B2:B8" si="1">SWITCH($A2, "", "", INDIRECT("'"&amp;$A2&amp;"'!B$15"))</f>
        <v>10</v>
      </c>
      <c r="C2" s="55">
        <f t="shared" ref="C2:C8" si="2">SWITCH($A2, "", "", INDIRECT("'"&amp;$A2&amp;"'!C$15"))</f>
        <v>0</v>
      </c>
      <c r="D2" s="55">
        <f t="shared" ref="D2:D8" si="3">SWITCH($A2, "", "", INDIRECT("'"&amp;$A2&amp;"'!D$15"))</f>
        <v>1</v>
      </c>
      <c r="E2" s="55">
        <f t="shared" ref="E2:E8" si="4">SWITCH($A2, "", "", INDIRECT("'"&amp;$A2&amp;"'!E$15"))</f>
        <v>0</v>
      </c>
      <c r="F2" s="56">
        <f t="shared" ref="F2:F8" si="5">SWITCH($A2, "", "", INDIRECT("'"&amp;$A2&amp;"'!F$15"))</f>
        <v>0</v>
      </c>
      <c r="I2" s="27"/>
    </row>
    <row r="3">
      <c r="A3" s="57" t="s">
        <v>12</v>
      </c>
      <c r="B3" s="58">
        <f t="shared" si="1"/>
        <v>6</v>
      </c>
      <c r="C3" s="59">
        <f t="shared" si="2"/>
        <v>0</v>
      </c>
      <c r="D3" s="59">
        <f t="shared" si="3"/>
        <v>0</v>
      </c>
      <c r="E3" s="59">
        <f t="shared" si="4"/>
        <v>0</v>
      </c>
      <c r="F3" s="60">
        <f t="shared" si="5"/>
        <v>0</v>
      </c>
      <c r="I3" s="27"/>
    </row>
    <row r="4">
      <c r="A4" s="57" t="s">
        <v>13</v>
      </c>
      <c r="B4" s="58">
        <f t="shared" si="1"/>
        <v>7</v>
      </c>
      <c r="C4" s="59">
        <f t="shared" si="2"/>
        <v>0</v>
      </c>
      <c r="D4" s="59">
        <f t="shared" si="3"/>
        <v>0</v>
      </c>
      <c r="E4" s="59">
        <f t="shared" si="4"/>
        <v>0</v>
      </c>
      <c r="F4" s="60">
        <f t="shared" si="5"/>
        <v>0</v>
      </c>
      <c r="I4" s="27"/>
    </row>
    <row r="5">
      <c r="A5" s="57" t="s">
        <v>14</v>
      </c>
      <c r="B5" s="58">
        <f t="shared" si="1"/>
        <v>2</v>
      </c>
      <c r="C5" s="59">
        <f t="shared" si="2"/>
        <v>0</v>
      </c>
      <c r="D5" s="59">
        <f t="shared" si="3"/>
        <v>0</v>
      </c>
      <c r="E5" s="59">
        <f t="shared" si="4"/>
        <v>1</v>
      </c>
      <c r="F5" s="60">
        <f t="shared" si="5"/>
        <v>0</v>
      </c>
      <c r="I5" s="27"/>
    </row>
    <row r="6">
      <c r="A6" s="57" t="s">
        <v>15</v>
      </c>
      <c r="B6" s="58">
        <f t="shared" si="1"/>
        <v>7</v>
      </c>
      <c r="C6" s="59">
        <f t="shared" si="2"/>
        <v>0</v>
      </c>
      <c r="D6" s="59">
        <f t="shared" si="3"/>
        <v>0</v>
      </c>
      <c r="E6" s="59">
        <f t="shared" si="4"/>
        <v>1</v>
      </c>
      <c r="F6" s="60">
        <f t="shared" si="5"/>
        <v>0</v>
      </c>
      <c r="I6" s="27"/>
    </row>
    <row r="7">
      <c r="A7" s="57" t="s">
        <v>16</v>
      </c>
      <c r="B7" s="58">
        <f t="shared" si="1"/>
        <v>11</v>
      </c>
      <c r="C7" s="59">
        <f t="shared" si="2"/>
        <v>0</v>
      </c>
      <c r="D7" s="59">
        <f t="shared" si="3"/>
        <v>0</v>
      </c>
      <c r="E7" s="59">
        <f t="shared" si="4"/>
        <v>1</v>
      </c>
      <c r="F7" s="60">
        <f t="shared" si="5"/>
        <v>0</v>
      </c>
      <c r="I7" s="27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47</v>
      </c>
      <c r="B9" s="66">
        <f>SWITCH(SUM(B2:B8), 0, "", SUM(B2:B8))</f>
        <v>43</v>
      </c>
      <c r="C9" s="67">
        <f t="shared" ref="C9:F9" si="6">SWITCH($B$9, "", "", SUM(C$2:C$8))</f>
        <v>0</v>
      </c>
      <c r="D9" s="67">
        <f t="shared" si="6"/>
        <v>1</v>
      </c>
      <c r="E9" s="67">
        <f t="shared" si="6"/>
        <v>3</v>
      </c>
      <c r="F9" s="67">
        <f t="shared" si="6"/>
        <v>0</v>
      </c>
    </row>
    <row r="10">
      <c r="A10" s="61" t="s">
        <v>48</v>
      </c>
      <c r="B10" s="68"/>
      <c r="C10" s="69">
        <f t="shared" ref="C10:F10" si="7">SWITCH(C$9, "", "", C$9/$B$9)</f>
        <v>0</v>
      </c>
      <c r="D10" s="69">
        <f t="shared" si="7"/>
        <v>0.02325581395</v>
      </c>
      <c r="E10" s="69">
        <f t="shared" si="7"/>
        <v>0.06976744186</v>
      </c>
      <c r="F10" s="69">
        <f t="shared" si="7"/>
        <v>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46</v>
      </c>
      <c r="G1" s="9"/>
      <c r="I1" s="27"/>
    </row>
    <row r="2">
      <c r="A2" s="51" t="s">
        <v>11</v>
      </c>
      <c r="B2" s="54">
        <f t="shared" ref="B2:B8" si="1">SWITCH($A2, "", "", INDIRECT("'"&amp;$A2&amp;"'!B$16"))</f>
        <v>11</v>
      </c>
      <c r="C2" s="55">
        <f t="shared" ref="C2:C8" si="2">SWITCH($A2, "", "", INDIRECT("'"&amp;$A2&amp;"'!C$16"))</f>
        <v>1</v>
      </c>
      <c r="D2" s="55">
        <f t="shared" ref="D2:D8" si="3">SWITCH($A2, "", "", INDIRECT("'"&amp;$A2&amp;"'!D$16"))</f>
        <v>2</v>
      </c>
      <c r="E2" s="55">
        <f t="shared" ref="E2:E8" si="4">SWITCH($A2, "", "", INDIRECT("'"&amp;$A2&amp;"'!E$16"))</f>
        <v>1</v>
      </c>
      <c r="F2" s="56">
        <f t="shared" ref="F2:F8" si="5">SWITCH($A2, "", "", INDIRECT("'"&amp;$A2&amp;"'!F$16"))</f>
        <v>1</v>
      </c>
      <c r="I2" s="27"/>
    </row>
    <row r="3">
      <c r="A3" s="57" t="s">
        <v>12</v>
      </c>
      <c r="B3" s="58">
        <f t="shared" si="1"/>
        <v>7</v>
      </c>
      <c r="C3" s="59">
        <f t="shared" si="2"/>
        <v>1</v>
      </c>
      <c r="D3" s="59">
        <f t="shared" si="3"/>
        <v>0</v>
      </c>
      <c r="E3" s="59">
        <f t="shared" si="4"/>
        <v>0</v>
      </c>
      <c r="F3" s="60">
        <f t="shared" si="5"/>
        <v>0</v>
      </c>
      <c r="I3" s="27"/>
    </row>
    <row r="4">
      <c r="A4" s="57" t="s">
        <v>13</v>
      </c>
      <c r="B4" s="58">
        <f t="shared" si="1"/>
        <v>8</v>
      </c>
      <c r="C4" s="59">
        <f t="shared" si="2"/>
        <v>1</v>
      </c>
      <c r="D4" s="59">
        <f t="shared" si="3"/>
        <v>0</v>
      </c>
      <c r="E4" s="59">
        <f t="shared" si="4"/>
        <v>2</v>
      </c>
      <c r="F4" s="60">
        <f t="shared" si="5"/>
        <v>1</v>
      </c>
      <c r="I4" s="27"/>
    </row>
    <row r="5">
      <c r="A5" s="57" t="s">
        <v>14</v>
      </c>
      <c r="B5" s="58">
        <f t="shared" si="1"/>
        <v>5</v>
      </c>
      <c r="C5" s="59">
        <f t="shared" si="2"/>
        <v>0</v>
      </c>
      <c r="D5" s="59">
        <f t="shared" si="3"/>
        <v>0</v>
      </c>
      <c r="E5" s="59">
        <f t="shared" si="4"/>
        <v>0</v>
      </c>
      <c r="F5" s="60">
        <f t="shared" si="5"/>
        <v>0</v>
      </c>
      <c r="I5" s="27"/>
    </row>
    <row r="6">
      <c r="A6" s="57" t="s">
        <v>15</v>
      </c>
      <c r="B6" s="58">
        <f t="shared" si="1"/>
        <v>8</v>
      </c>
      <c r="C6" s="59">
        <f t="shared" si="2"/>
        <v>0</v>
      </c>
      <c r="D6" s="59">
        <f t="shared" si="3"/>
        <v>1</v>
      </c>
      <c r="E6" s="59">
        <f t="shared" si="4"/>
        <v>2</v>
      </c>
      <c r="F6" s="60">
        <f t="shared" si="5"/>
        <v>3</v>
      </c>
      <c r="I6" s="27"/>
    </row>
    <row r="7">
      <c r="A7" s="57" t="s">
        <v>16</v>
      </c>
      <c r="B7" s="58">
        <f t="shared" si="1"/>
        <v>11</v>
      </c>
      <c r="C7" s="59">
        <f t="shared" si="2"/>
        <v>1</v>
      </c>
      <c r="D7" s="59">
        <f t="shared" si="3"/>
        <v>0</v>
      </c>
      <c r="E7" s="59">
        <f t="shared" si="4"/>
        <v>1</v>
      </c>
      <c r="F7" s="60">
        <f t="shared" si="5"/>
        <v>0</v>
      </c>
      <c r="I7" s="27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47</v>
      </c>
      <c r="B9" s="66">
        <f>SWITCH(SUM(B2:B8), 0, "", SUM(B2:B8))</f>
        <v>50</v>
      </c>
      <c r="C9" s="67">
        <f t="shared" ref="C9:F9" si="6">SWITCH($B$9, "", "", SUM(C$2:C$8))</f>
        <v>4</v>
      </c>
      <c r="D9" s="67">
        <f t="shared" si="6"/>
        <v>3</v>
      </c>
      <c r="E9" s="67">
        <f t="shared" si="6"/>
        <v>6</v>
      </c>
      <c r="F9" s="67">
        <f t="shared" si="6"/>
        <v>5</v>
      </c>
    </row>
    <row r="10">
      <c r="A10" s="61" t="s">
        <v>48</v>
      </c>
      <c r="B10" s="68"/>
      <c r="C10" s="69">
        <f t="shared" ref="C10:F10" si="7">SWITCH(C$9, "", "", C$9/$B$9)</f>
        <v>0.08</v>
      </c>
      <c r="D10" s="69">
        <f t="shared" si="7"/>
        <v>0.06</v>
      </c>
      <c r="E10" s="69">
        <f t="shared" si="7"/>
        <v>0.12</v>
      </c>
      <c r="F10" s="69">
        <f t="shared" si="7"/>
        <v>0.1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46</v>
      </c>
      <c r="G1" s="9"/>
      <c r="I1" s="27"/>
    </row>
    <row r="2">
      <c r="A2" s="51" t="s">
        <v>11</v>
      </c>
      <c r="B2" s="54">
        <f t="shared" ref="B2:B8" si="1">SWITCH($A2, "", "", INDIRECT("'"&amp;$A2&amp;"'!B$17"))</f>
        <v>11</v>
      </c>
      <c r="C2" s="55">
        <f t="shared" ref="C2:C8" si="2">SWITCH($A2, "", "", INDIRECT("'"&amp;$A2&amp;"'!C$17"))</f>
        <v>0</v>
      </c>
      <c r="D2" s="55">
        <f t="shared" ref="D2:D8" si="3">SWITCH($A2, "", "", INDIRECT("'"&amp;$A2&amp;"'!D$17"))</f>
        <v>1</v>
      </c>
      <c r="E2" s="55">
        <f t="shared" ref="E2:E8" si="4">SWITCH($A2, "", "", INDIRECT("'"&amp;$A2&amp;"'!E$17"))</f>
        <v>0</v>
      </c>
      <c r="F2" s="56">
        <f t="shared" ref="F2:F8" si="5">SWITCH($A2, "", "", INDIRECT("'"&amp;$A2&amp;"'!F$17"))</f>
        <v>1</v>
      </c>
      <c r="I2" s="27"/>
    </row>
    <row r="3">
      <c r="A3" s="57" t="s">
        <v>12</v>
      </c>
      <c r="B3" s="58">
        <f t="shared" si="1"/>
        <v>9</v>
      </c>
      <c r="C3" s="59">
        <f t="shared" si="2"/>
        <v>0</v>
      </c>
      <c r="D3" s="59">
        <f t="shared" si="3"/>
        <v>0</v>
      </c>
      <c r="E3" s="59">
        <f t="shared" si="4"/>
        <v>1</v>
      </c>
      <c r="F3" s="60">
        <f t="shared" si="5"/>
        <v>0</v>
      </c>
      <c r="I3" s="27"/>
    </row>
    <row r="4">
      <c r="A4" s="57" t="s">
        <v>13</v>
      </c>
      <c r="B4" s="58">
        <f t="shared" si="1"/>
        <v>8</v>
      </c>
      <c r="C4" s="59">
        <f t="shared" si="2"/>
        <v>0</v>
      </c>
      <c r="D4" s="59">
        <f t="shared" si="3"/>
        <v>2</v>
      </c>
      <c r="E4" s="59">
        <f t="shared" si="4"/>
        <v>0</v>
      </c>
      <c r="F4" s="60">
        <f t="shared" si="5"/>
        <v>0</v>
      </c>
      <c r="I4" s="27"/>
    </row>
    <row r="5">
      <c r="A5" s="57" t="s">
        <v>14</v>
      </c>
      <c r="B5" s="58">
        <f t="shared" si="1"/>
        <v>6</v>
      </c>
      <c r="C5" s="59">
        <f t="shared" si="2"/>
        <v>0</v>
      </c>
      <c r="D5" s="59">
        <f t="shared" si="3"/>
        <v>0</v>
      </c>
      <c r="E5" s="59">
        <f t="shared" si="4"/>
        <v>0</v>
      </c>
      <c r="F5" s="60">
        <f t="shared" si="5"/>
        <v>0</v>
      </c>
      <c r="I5" s="27"/>
    </row>
    <row r="6">
      <c r="A6" s="57" t="s">
        <v>15</v>
      </c>
      <c r="B6" s="58">
        <f t="shared" si="1"/>
        <v>9</v>
      </c>
      <c r="C6" s="59">
        <f t="shared" si="2"/>
        <v>0</v>
      </c>
      <c r="D6" s="59">
        <f t="shared" si="3"/>
        <v>1</v>
      </c>
      <c r="E6" s="59">
        <f t="shared" si="4"/>
        <v>0</v>
      </c>
      <c r="F6" s="60">
        <f t="shared" si="5"/>
        <v>0</v>
      </c>
      <c r="I6" s="27"/>
    </row>
    <row r="7">
      <c r="A7" s="57" t="s">
        <v>16</v>
      </c>
      <c r="B7" s="58">
        <f t="shared" si="1"/>
        <v>12</v>
      </c>
      <c r="C7" s="59">
        <f t="shared" si="2"/>
        <v>0</v>
      </c>
      <c r="D7" s="59">
        <f t="shared" si="3"/>
        <v>0</v>
      </c>
      <c r="E7" s="59">
        <f t="shared" si="4"/>
        <v>0</v>
      </c>
      <c r="F7" s="60">
        <f t="shared" si="5"/>
        <v>0</v>
      </c>
      <c r="I7" s="27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47</v>
      </c>
      <c r="B9" s="66">
        <f>SWITCH(SUM(B2:B8), 0, "", SUM(B2:B8))</f>
        <v>55</v>
      </c>
      <c r="C9" s="67">
        <f t="shared" ref="C9:F9" si="6">SWITCH($B$9, "", "", SUM(C$2:C$8))</f>
        <v>0</v>
      </c>
      <c r="D9" s="67">
        <f t="shared" si="6"/>
        <v>4</v>
      </c>
      <c r="E9" s="67">
        <f t="shared" si="6"/>
        <v>1</v>
      </c>
      <c r="F9" s="67">
        <f t="shared" si="6"/>
        <v>1</v>
      </c>
    </row>
    <row r="10">
      <c r="A10" s="61" t="s">
        <v>48</v>
      </c>
      <c r="B10" s="68"/>
      <c r="C10" s="69">
        <f t="shared" ref="C10:F10" si="7">SWITCH(C$9, "", "", C$9/$B$9)</f>
        <v>0</v>
      </c>
      <c r="D10" s="69">
        <f t="shared" si="7"/>
        <v>0.07272727273</v>
      </c>
      <c r="E10" s="69">
        <f t="shared" si="7"/>
        <v>0.01818181818</v>
      </c>
      <c r="F10" s="69">
        <f t="shared" si="7"/>
        <v>0.01818181818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46</v>
      </c>
      <c r="G1" s="9"/>
      <c r="I1" s="27"/>
    </row>
    <row r="2">
      <c r="A2" s="51" t="s">
        <v>11</v>
      </c>
      <c r="B2" s="54">
        <f t="shared" ref="B2:B8" si="1">SWITCH($A2, "", "", INDIRECT("'"&amp;$A2&amp;"'!B$18"))</f>
        <v>12</v>
      </c>
      <c r="C2" s="55">
        <f t="shared" ref="C2:C8" si="2">SWITCH($A2, "", "", INDIRECT("'"&amp;$A2&amp;"'!C$18"))</f>
        <v>2</v>
      </c>
      <c r="D2" s="55">
        <f t="shared" ref="D2:D8" si="3">SWITCH($A2, "", "", INDIRECT("'"&amp;$A2&amp;"'!D$18"))</f>
        <v>0</v>
      </c>
      <c r="E2" s="55">
        <f t="shared" ref="E2:E8" si="4">SWITCH($A2, "", "", INDIRECT("'"&amp;$A2&amp;"'!E$18"))</f>
        <v>0</v>
      </c>
      <c r="F2" s="56">
        <f t="shared" ref="F2:F8" si="5">SWITCH($A2, "", "", INDIRECT("'"&amp;$A2&amp;"'!F$18"))</f>
        <v>0</v>
      </c>
      <c r="I2" s="27"/>
    </row>
    <row r="3">
      <c r="A3" s="57" t="s">
        <v>12</v>
      </c>
      <c r="B3" s="58">
        <f t="shared" si="1"/>
        <v>8</v>
      </c>
      <c r="C3" s="59">
        <f t="shared" si="2"/>
        <v>0</v>
      </c>
      <c r="D3" s="59">
        <f t="shared" si="3"/>
        <v>0</v>
      </c>
      <c r="E3" s="59">
        <f t="shared" si="4"/>
        <v>0</v>
      </c>
      <c r="F3" s="60">
        <f t="shared" si="5"/>
        <v>3</v>
      </c>
      <c r="I3" s="27"/>
    </row>
    <row r="4">
      <c r="A4" s="57" t="s">
        <v>13</v>
      </c>
      <c r="B4" s="58">
        <f t="shared" si="1"/>
        <v>8</v>
      </c>
      <c r="C4" s="59">
        <f t="shared" si="2"/>
        <v>0</v>
      </c>
      <c r="D4" s="59">
        <f t="shared" si="3"/>
        <v>1</v>
      </c>
      <c r="E4" s="59">
        <f t="shared" si="4"/>
        <v>1</v>
      </c>
      <c r="F4" s="60">
        <f t="shared" si="5"/>
        <v>0</v>
      </c>
      <c r="I4" s="27"/>
    </row>
    <row r="5">
      <c r="A5" s="57" t="s">
        <v>14</v>
      </c>
      <c r="B5" s="58">
        <f t="shared" si="1"/>
        <v>5</v>
      </c>
      <c r="C5" s="59">
        <f t="shared" si="2"/>
        <v>0</v>
      </c>
      <c r="D5" s="59">
        <f t="shared" si="3"/>
        <v>0</v>
      </c>
      <c r="E5" s="59">
        <f t="shared" si="4"/>
        <v>0</v>
      </c>
      <c r="F5" s="60">
        <f t="shared" si="5"/>
        <v>0</v>
      </c>
      <c r="I5" s="27"/>
    </row>
    <row r="6">
      <c r="A6" s="57" t="s">
        <v>15</v>
      </c>
      <c r="B6" s="58">
        <f t="shared" si="1"/>
        <v>8</v>
      </c>
      <c r="C6" s="59">
        <f t="shared" si="2"/>
        <v>1</v>
      </c>
      <c r="D6" s="59">
        <f t="shared" si="3"/>
        <v>0</v>
      </c>
      <c r="E6" s="59">
        <f t="shared" si="4"/>
        <v>0</v>
      </c>
      <c r="F6" s="60">
        <f t="shared" si="5"/>
        <v>5</v>
      </c>
      <c r="I6" s="27"/>
    </row>
    <row r="7">
      <c r="A7" s="57" t="s">
        <v>16</v>
      </c>
      <c r="B7" s="58">
        <f t="shared" si="1"/>
        <v>11</v>
      </c>
      <c r="C7" s="59">
        <f t="shared" si="2"/>
        <v>1</v>
      </c>
      <c r="D7" s="59">
        <f t="shared" si="3"/>
        <v>0</v>
      </c>
      <c r="E7" s="59">
        <f t="shared" si="4"/>
        <v>0</v>
      </c>
      <c r="F7" s="60">
        <f t="shared" si="5"/>
        <v>2</v>
      </c>
      <c r="I7" s="27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47</v>
      </c>
      <c r="B9" s="66">
        <f>SWITCH(SUM(B2:B8), 0, "", SUM(B2:B8))</f>
        <v>52</v>
      </c>
      <c r="C9" s="67">
        <f t="shared" ref="C9:F9" si="6">SWITCH($B$9, "", "", SUM(C$2:C$8))</f>
        <v>4</v>
      </c>
      <c r="D9" s="67">
        <f t="shared" si="6"/>
        <v>1</v>
      </c>
      <c r="E9" s="67">
        <f t="shared" si="6"/>
        <v>1</v>
      </c>
      <c r="F9" s="67">
        <f t="shared" si="6"/>
        <v>10</v>
      </c>
    </row>
    <row r="10">
      <c r="A10" s="61" t="s">
        <v>48</v>
      </c>
      <c r="B10" s="68"/>
      <c r="C10" s="69">
        <f t="shared" ref="C10:F10" si="7">SWITCH(C$9, "", "", C$9/$B$9)</f>
        <v>0.07692307692</v>
      </c>
      <c r="D10" s="69">
        <f t="shared" si="7"/>
        <v>0.01923076923</v>
      </c>
      <c r="E10" s="69">
        <f t="shared" si="7"/>
        <v>0.01923076923</v>
      </c>
      <c r="F10" s="69">
        <f t="shared" si="7"/>
        <v>0.1923076923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46</v>
      </c>
      <c r="G1" s="9"/>
      <c r="I1" s="27"/>
    </row>
    <row r="2">
      <c r="A2" s="51" t="s">
        <v>11</v>
      </c>
      <c r="B2" s="54">
        <f t="shared" ref="B2:B8" si="1">SWITCH($A2, "", "", INDIRECT("'"&amp;$A2&amp;"'!B$19"))</f>
        <v>9</v>
      </c>
      <c r="C2" s="55">
        <f t="shared" ref="C2:C8" si="2">SWITCH($A2, "", "", INDIRECT("'"&amp;$A2&amp;"'!C$19"))</f>
        <v>0</v>
      </c>
      <c r="D2" s="55">
        <f t="shared" ref="D2:D8" si="3">SWITCH($A2, "", "", INDIRECT("'"&amp;$A2&amp;"'!D$19"))</f>
        <v>0</v>
      </c>
      <c r="E2" s="55">
        <f t="shared" ref="E2:E8" si="4">SWITCH($A2, "", "", INDIRECT("'"&amp;$A2&amp;"'!E$19"))</f>
        <v>1</v>
      </c>
      <c r="F2" s="56">
        <f t="shared" ref="F2:F8" si="5">SWITCH($A2, "", "", INDIRECT("'"&amp;$A2&amp;"'!F$19"))</f>
        <v>0</v>
      </c>
      <c r="I2" s="27"/>
    </row>
    <row r="3">
      <c r="A3" s="57" t="s">
        <v>12</v>
      </c>
      <c r="B3" s="58">
        <f t="shared" si="1"/>
        <v>7</v>
      </c>
      <c r="C3" s="59">
        <f t="shared" si="2"/>
        <v>1</v>
      </c>
      <c r="D3" s="59">
        <f t="shared" si="3"/>
        <v>1</v>
      </c>
      <c r="E3" s="59">
        <f t="shared" si="4"/>
        <v>1</v>
      </c>
      <c r="F3" s="60">
        <f t="shared" si="5"/>
        <v>0</v>
      </c>
      <c r="I3" s="27"/>
    </row>
    <row r="4">
      <c r="A4" s="57" t="s">
        <v>13</v>
      </c>
      <c r="B4" s="58">
        <f t="shared" si="1"/>
        <v>7</v>
      </c>
      <c r="C4" s="59">
        <f t="shared" si="2"/>
        <v>0</v>
      </c>
      <c r="D4" s="59">
        <f t="shared" si="3"/>
        <v>1</v>
      </c>
      <c r="E4" s="59">
        <f t="shared" si="4"/>
        <v>0</v>
      </c>
      <c r="F4" s="60">
        <f t="shared" si="5"/>
        <v>0</v>
      </c>
      <c r="I4" s="27"/>
    </row>
    <row r="5">
      <c r="A5" s="57" t="s">
        <v>14</v>
      </c>
      <c r="B5" s="58">
        <f t="shared" si="1"/>
        <v>4</v>
      </c>
      <c r="C5" s="59">
        <f t="shared" si="2"/>
        <v>0</v>
      </c>
      <c r="D5" s="59">
        <f t="shared" si="3"/>
        <v>0</v>
      </c>
      <c r="E5" s="59">
        <f t="shared" si="4"/>
        <v>2</v>
      </c>
      <c r="F5" s="60">
        <f t="shared" si="5"/>
        <v>1</v>
      </c>
      <c r="I5" s="27"/>
    </row>
    <row r="6">
      <c r="A6" s="57" t="s">
        <v>15</v>
      </c>
      <c r="B6" s="58">
        <f t="shared" si="1"/>
        <v>7</v>
      </c>
      <c r="C6" s="59">
        <f t="shared" si="2"/>
        <v>0</v>
      </c>
      <c r="D6" s="59">
        <f t="shared" si="3"/>
        <v>0</v>
      </c>
      <c r="E6" s="59">
        <f t="shared" si="4"/>
        <v>2</v>
      </c>
      <c r="F6" s="60">
        <f t="shared" si="5"/>
        <v>2</v>
      </c>
      <c r="I6" s="27"/>
    </row>
    <row r="7">
      <c r="A7" s="57" t="s">
        <v>16</v>
      </c>
      <c r="B7" s="58">
        <f t="shared" si="1"/>
        <v>10</v>
      </c>
      <c r="C7" s="59">
        <f t="shared" si="2"/>
        <v>0</v>
      </c>
      <c r="D7" s="59">
        <f t="shared" si="3"/>
        <v>0</v>
      </c>
      <c r="E7" s="59">
        <f t="shared" si="4"/>
        <v>1</v>
      </c>
      <c r="F7" s="60">
        <f t="shared" si="5"/>
        <v>1</v>
      </c>
      <c r="I7" s="27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47</v>
      </c>
      <c r="B9" s="66">
        <f>SWITCH(SUM(B2:B8), 0, "", SUM(B2:B8))</f>
        <v>44</v>
      </c>
      <c r="C9" s="67">
        <f t="shared" ref="C9:F9" si="6">SWITCH($B$9, "", "", SUM(C$2:C$8))</f>
        <v>1</v>
      </c>
      <c r="D9" s="67">
        <f t="shared" si="6"/>
        <v>2</v>
      </c>
      <c r="E9" s="67">
        <f t="shared" si="6"/>
        <v>7</v>
      </c>
      <c r="F9" s="67">
        <f t="shared" si="6"/>
        <v>4</v>
      </c>
    </row>
    <row r="10">
      <c r="A10" s="61" t="s">
        <v>48</v>
      </c>
      <c r="B10" s="68"/>
      <c r="C10" s="69">
        <f t="shared" ref="C10:F10" si="7">SWITCH(C$9, "", "", C$9/$B$9)</f>
        <v>0.02272727273</v>
      </c>
      <c r="D10" s="69">
        <f t="shared" si="7"/>
        <v>0.04545454545</v>
      </c>
      <c r="E10" s="69">
        <f t="shared" si="7"/>
        <v>0.1590909091</v>
      </c>
      <c r="F10" s="69">
        <f t="shared" si="7"/>
        <v>0.09090909091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46</v>
      </c>
      <c r="G1" s="9"/>
      <c r="I1" s="27"/>
    </row>
    <row r="2">
      <c r="A2" s="51" t="s">
        <v>11</v>
      </c>
      <c r="B2" s="54">
        <f t="shared" ref="B2:B8" si="1">SWITCH($A2, "", "", INDIRECT("'"&amp;$A2&amp;"'!B$20"))</f>
        <v>11</v>
      </c>
      <c r="C2" s="55">
        <f t="shared" ref="C2:C8" si="2">SWITCH($A2, "", "", INDIRECT("'"&amp;$A2&amp;"'!C$20"))</f>
        <v>1</v>
      </c>
      <c r="D2" s="55">
        <f t="shared" ref="D2:D8" si="3">SWITCH($A2, "", "", INDIRECT("'"&amp;$A2&amp;"'!D$20"))</f>
        <v>0</v>
      </c>
      <c r="E2" s="55">
        <f t="shared" ref="E2:E8" si="4">SWITCH($A2, "", "", INDIRECT("'"&amp;$A2&amp;"'!E$20"))</f>
        <v>1</v>
      </c>
      <c r="F2" s="56">
        <f t="shared" ref="F2:F8" si="5">SWITCH($A2, "", "", INDIRECT("'"&amp;$A2&amp;"'!F$20"))</f>
        <v>1</v>
      </c>
      <c r="I2" s="27"/>
    </row>
    <row r="3">
      <c r="A3" s="57" t="s">
        <v>12</v>
      </c>
      <c r="B3" s="58">
        <f t="shared" si="1"/>
        <v>8</v>
      </c>
      <c r="C3" s="59">
        <f t="shared" si="2"/>
        <v>0</v>
      </c>
      <c r="D3" s="59">
        <f t="shared" si="3"/>
        <v>1</v>
      </c>
      <c r="E3" s="59">
        <f t="shared" si="4"/>
        <v>0</v>
      </c>
      <c r="F3" s="60">
        <f t="shared" si="5"/>
        <v>0</v>
      </c>
      <c r="I3" s="27"/>
    </row>
    <row r="4">
      <c r="A4" s="57" t="s">
        <v>13</v>
      </c>
      <c r="B4" s="58">
        <f t="shared" si="1"/>
        <v>8</v>
      </c>
      <c r="C4" s="59">
        <f t="shared" si="2"/>
        <v>2</v>
      </c>
      <c r="D4" s="59">
        <f t="shared" si="3"/>
        <v>1</v>
      </c>
      <c r="E4" s="59">
        <f t="shared" si="4"/>
        <v>3</v>
      </c>
      <c r="F4" s="60">
        <f t="shared" si="5"/>
        <v>3</v>
      </c>
      <c r="I4" s="27"/>
    </row>
    <row r="5">
      <c r="A5" s="57" t="s">
        <v>14</v>
      </c>
      <c r="B5" s="58">
        <f t="shared" si="1"/>
        <v>6</v>
      </c>
      <c r="C5" s="59">
        <f t="shared" si="2"/>
        <v>0</v>
      </c>
      <c r="D5" s="59">
        <f t="shared" si="3"/>
        <v>0</v>
      </c>
      <c r="E5" s="59">
        <f t="shared" si="4"/>
        <v>0</v>
      </c>
      <c r="F5" s="60">
        <f t="shared" si="5"/>
        <v>0</v>
      </c>
      <c r="I5" s="27"/>
    </row>
    <row r="6">
      <c r="A6" s="57" t="s">
        <v>15</v>
      </c>
      <c r="B6" s="58">
        <f t="shared" si="1"/>
        <v>8</v>
      </c>
      <c r="C6" s="59">
        <f t="shared" si="2"/>
        <v>0</v>
      </c>
      <c r="D6" s="59">
        <f t="shared" si="3"/>
        <v>0</v>
      </c>
      <c r="E6" s="59">
        <f t="shared" si="4"/>
        <v>0</v>
      </c>
      <c r="F6" s="60">
        <f t="shared" si="5"/>
        <v>3</v>
      </c>
      <c r="I6" s="27"/>
    </row>
    <row r="7">
      <c r="A7" s="57" t="s">
        <v>16</v>
      </c>
      <c r="B7" s="58">
        <f t="shared" si="1"/>
        <v>9</v>
      </c>
      <c r="C7" s="59">
        <f t="shared" si="2"/>
        <v>0</v>
      </c>
      <c r="D7" s="59">
        <f t="shared" si="3"/>
        <v>1</v>
      </c>
      <c r="E7" s="59">
        <f t="shared" si="4"/>
        <v>0</v>
      </c>
      <c r="F7" s="60">
        <f t="shared" si="5"/>
        <v>1</v>
      </c>
      <c r="I7" s="27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47</v>
      </c>
      <c r="B9" s="66">
        <f>SWITCH(SUM(B2:B8), 0, "", SUM(B2:B8))</f>
        <v>50</v>
      </c>
      <c r="C9" s="67">
        <f t="shared" ref="C9:F9" si="6">SWITCH($B$9, "", "", SUM(C$2:C$8))</f>
        <v>3</v>
      </c>
      <c r="D9" s="67">
        <f t="shared" si="6"/>
        <v>3</v>
      </c>
      <c r="E9" s="67">
        <f t="shared" si="6"/>
        <v>4</v>
      </c>
      <c r="F9" s="67">
        <f t="shared" si="6"/>
        <v>8</v>
      </c>
    </row>
    <row r="10">
      <c r="A10" s="61" t="s">
        <v>48</v>
      </c>
      <c r="B10" s="68"/>
      <c r="C10" s="69">
        <f t="shared" ref="C10:F10" si="7">SWITCH(C$9, "", "", C$9/$B$9)</f>
        <v>0.06</v>
      </c>
      <c r="D10" s="69">
        <f t="shared" si="7"/>
        <v>0.06</v>
      </c>
      <c r="E10" s="69">
        <f t="shared" si="7"/>
        <v>0.08</v>
      </c>
      <c r="F10" s="69">
        <f t="shared" si="7"/>
        <v>0.16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46</v>
      </c>
      <c r="G1" s="9"/>
      <c r="I1" s="27"/>
    </row>
    <row r="2">
      <c r="A2" s="51" t="s">
        <v>11</v>
      </c>
      <c r="B2" s="54">
        <f t="shared" ref="B2:B8" si="1">SWITCH($A2, "", "", INDIRECT("'"&amp;$A2&amp;"'!B$21"))</f>
        <v>4</v>
      </c>
      <c r="C2" s="55">
        <f t="shared" ref="C2:C8" si="2">SWITCH($A2, "", "", INDIRECT("'"&amp;$A2&amp;"'!C$21"))</f>
        <v>0</v>
      </c>
      <c r="D2" s="55">
        <f t="shared" ref="D2:D8" si="3">SWITCH($A2, "", "", INDIRECT("'"&amp;$A2&amp;"'!D$21"))</f>
        <v>0</v>
      </c>
      <c r="E2" s="55">
        <f t="shared" ref="E2:E8" si="4">SWITCH($A2, "", "", INDIRECT("'"&amp;$A2&amp;"'!E$21"))</f>
        <v>1</v>
      </c>
      <c r="F2" s="56">
        <f t="shared" ref="F2:F8" si="5">SWITCH($A2, "", "", INDIRECT("'"&amp;$A2&amp;"'!F$21"))</f>
        <v>0</v>
      </c>
      <c r="I2" s="27"/>
    </row>
    <row r="3">
      <c r="A3" s="57" t="s">
        <v>12</v>
      </c>
      <c r="B3" s="58">
        <f t="shared" si="1"/>
        <v>3</v>
      </c>
      <c r="C3" s="59">
        <f t="shared" si="2"/>
        <v>0</v>
      </c>
      <c r="D3" s="59">
        <f t="shared" si="3"/>
        <v>0</v>
      </c>
      <c r="E3" s="59">
        <f t="shared" si="4"/>
        <v>0</v>
      </c>
      <c r="F3" s="60">
        <f t="shared" si="5"/>
        <v>0</v>
      </c>
      <c r="I3" s="27"/>
    </row>
    <row r="4">
      <c r="A4" s="57" t="s">
        <v>13</v>
      </c>
      <c r="B4" s="58">
        <f t="shared" si="1"/>
        <v>5</v>
      </c>
      <c r="C4" s="59">
        <f t="shared" si="2"/>
        <v>0</v>
      </c>
      <c r="D4" s="59">
        <f t="shared" si="3"/>
        <v>0</v>
      </c>
      <c r="E4" s="59">
        <f t="shared" si="4"/>
        <v>0</v>
      </c>
      <c r="F4" s="60">
        <f t="shared" si="5"/>
        <v>0</v>
      </c>
      <c r="I4" s="27"/>
    </row>
    <row r="5">
      <c r="A5" s="57" t="s">
        <v>14</v>
      </c>
      <c r="B5" s="58">
        <f t="shared" si="1"/>
        <v>3</v>
      </c>
      <c r="C5" s="59">
        <f t="shared" si="2"/>
        <v>0</v>
      </c>
      <c r="D5" s="59">
        <f t="shared" si="3"/>
        <v>1</v>
      </c>
      <c r="E5" s="59">
        <f t="shared" si="4"/>
        <v>0</v>
      </c>
      <c r="F5" s="60">
        <f t="shared" si="5"/>
        <v>1</v>
      </c>
      <c r="I5" s="27"/>
    </row>
    <row r="6">
      <c r="A6" s="57" t="s">
        <v>15</v>
      </c>
      <c r="B6" s="58">
        <f t="shared" si="1"/>
        <v>1</v>
      </c>
      <c r="C6" s="59">
        <f t="shared" si="2"/>
        <v>0</v>
      </c>
      <c r="D6" s="59">
        <f t="shared" si="3"/>
        <v>0</v>
      </c>
      <c r="E6" s="59">
        <f t="shared" si="4"/>
        <v>0</v>
      </c>
      <c r="F6" s="60">
        <f t="shared" si="5"/>
        <v>0</v>
      </c>
      <c r="I6" s="27"/>
    </row>
    <row r="7">
      <c r="A7" s="57" t="s">
        <v>16</v>
      </c>
      <c r="B7" s="58">
        <f t="shared" si="1"/>
        <v>4</v>
      </c>
      <c r="C7" s="59">
        <f t="shared" si="2"/>
        <v>0</v>
      </c>
      <c r="D7" s="59">
        <f t="shared" si="3"/>
        <v>0</v>
      </c>
      <c r="E7" s="59">
        <f t="shared" si="4"/>
        <v>0</v>
      </c>
      <c r="F7" s="60">
        <f t="shared" si="5"/>
        <v>0</v>
      </c>
      <c r="I7" s="27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47</v>
      </c>
      <c r="B9" s="66">
        <f>SWITCH(SUM(B2:B8), 0, "", SUM(B2:B8))</f>
        <v>20</v>
      </c>
      <c r="C9" s="67">
        <f t="shared" ref="C9:F9" si="6">SWITCH($B$9, "", "", SUM(C$2:C$8))</f>
        <v>0</v>
      </c>
      <c r="D9" s="67">
        <f t="shared" si="6"/>
        <v>1</v>
      </c>
      <c r="E9" s="67">
        <f t="shared" si="6"/>
        <v>1</v>
      </c>
      <c r="F9" s="67">
        <f t="shared" si="6"/>
        <v>1</v>
      </c>
    </row>
    <row r="10">
      <c r="A10" s="61" t="s">
        <v>48</v>
      </c>
      <c r="B10" s="68"/>
      <c r="C10" s="69">
        <f t="shared" ref="C10:F10" si="7">SWITCH(C$9, "", "", C$9/$B$9)</f>
        <v>0</v>
      </c>
      <c r="D10" s="69">
        <f t="shared" si="7"/>
        <v>0.05</v>
      </c>
      <c r="E10" s="69">
        <f t="shared" si="7"/>
        <v>0.05</v>
      </c>
      <c r="F10" s="69">
        <f t="shared" si="7"/>
        <v>0.05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46</v>
      </c>
      <c r="G1" s="9"/>
      <c r="I1" s="27"/>
    </row>
    <row r="2">
      <c r="A2" s="51" t="s">
        <v>11</v>
      </c>
      <c r="B2" s="54">
        <f t="shared" ref="B2:B8" si="1">SWITCH($A2, "", "", INDIRECT("'"&amp;$A2&amp;"'!B$22"))</f>
        <v>2</v>
      </c>
      <c r="C2" s="55">
        <f t="shared" ref="C2:C8" si="2">SWITCH($A2, "", "", INDIRECT("'"&amp;$A2&amp;"'!C$22"))</f>
        <v>0</v>
      </c>
      <c r="D2" s="55">
        <f t="shared" ref="D2:D8" si="3">SWITCH($A2, "", "", INDIRECT("'"&amp;$A2&amp;"'!D$22"))</f>
        <v>0</v>
      </c>
      <c r="E2" s="55">
        <f t="shared" ref="E2:E8" si="4">SWITCH($A2, "", "", INDIRECT("'"&amp;$A2&amp;"'!E$22"))</f>
        <v>0</v>
      </c>
      <c r="F2" s="56">
        <f t="shared" ref="F2:F8" si="5">SWITCH($A2, "", "", INDIRECT("'"&amp;$A2&amp;"'!F$22"))</f>
        <v>0</v>
      </c>
      <c r="I2" s="27"/>
    </row>
    <row r="3">
      <c r="A3" s="57" t="s">
        <v>12</v>
      </c>
      <c r="B3" s="58">
        <f t="shared" si="1"/>
        <v>2</v>
      </c>
      <c r="C3" s="59">
        <f t="shared" si="2"/>
        <v>0</v>
      </c>
      <c r="D3" s="59">
        <f t="shared" si="3"/>
        <v>0</v>
      </c>
      <c r="E3" s="59">
        <f t="shared" si="4"/>
        <v>1</v>
      </c>
      <c r="F3" s="60">
        <f t="shared" si="5"/>
        <v>0</v>
      </c>
      <c r="I3" s="27"/>
    </row>
    <row r="4">
      <c r="A4" s="57" t="s">
        <v>13</v>
      </c>
      <c r="B4" s="58">
        <f t="shared" si="1"/>
        <v>4</v>
      </c>
      <c r="C4" s="59">
        <f t="shared" si="2"/>
        <v>0</v>
      </c>
      <c r="D4" s="59">
        <f t="shared" si="3"/>
        <v>0</v>
      </c>
      <c r="E4" s="59">
        <f t="shared" si="4"/>
        <v>0</v>
      </c>
      <c r="F4" s="60">
        <f t="shared" si="5"/>
        <v>0</v>
      </c>
      <c r="I4" s="27"/>
    </row>
    <row r="5">
      <c r="A5" s="57" t="s">
        <v>14</v>
      </c>
      <c r="B5" s="58">
        <f t="shared" si="1"/>
        <v>2</v>
      </c>
      <c r="C5" s="59">
        <f t="shared" si="2"/>
        <v>0</v>
      </c>
      <c r="D5" s="59">
        <f t="shared" si="3"/>
        <v>0</v>
      </c>
      <c r="E5" s="59">
        <f t="shared" si="4"/>
        <v>0</v>
      </c>
      <c r="F5" s="60">
        <f t="shared" si="5"/>
        <v>1</v>
      </c>
      <c r="I5" s="27"/>
    </row>
    <row r="6">
      <c r="A6" s="57" t="s">
        <v>15</v>
      </c>
      <c r="B6" s="58">
        <f t="shared" si="1"/>
        <v>0</v>
      </c>
      <c r="C6" s="59">
        <f t="shared" si="2"/>
        <v>0</v>
      </c>
      <c r="D6" s="59">
        <f t="shared" si="3"/>
        <v>0</v>
      </c>
      <c r="E6" s="59">
        <f t="shared" si="4"/>
        <v>0</v>
      </c>
      <c r="F6" s="60">
        <f t="shared" si="5"/>
        <v>0</v>
      </c>
      <c r="I6" s="27"/>
    </row>
    <row r="7">
      <c r="A7" s="57" t="s">
        <v>16</v>
      </c>
      <c r="B7" s="58">
        <f t="shared" si="1"/>
        <v>1</v>
      </c>
      <c r="C7" s="59">
        <f t="shared" si="2"/>
        <v>0</v>
      </c>
      <c r="D7" s="59">
        <f t="shared" si="3"/>
        <v>0</v>
      </c>
      <c r="E7" s="59">
        <f t="shared" si="4"/>
        <v>0</v>
      </c>
      <c r="F7" s="60">
        <f t="shared" si="5"/>
        <v>0</v>
      </c>
      <c r="I7" s="27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47</v>
      </c>
      <c r="B9" s="66">
        <f>SWITCH(SUM(B2:B8), 0, "", SUM(B2:B8))</f>
        <v>11</v>
      </c>
      <c r="C9" s="67">
        <f t="shared" ref="C9:F9" si="6">SWITCH($B$9, "", "", SUM(C$2:C$8))</f>
        <v>0</v>
      </c>
      <c r="D9" s="67">
        <f t="shared" si="6"/>
        <v>0</v>
      </c>
      <c r="E9" s="67">
        <f t="shared" si="6"/>
        <v>1</v>
      </c>
      <c r="F9" s="67">
        <f t="shared" si="6"/>
        <v>1</v>
      </c>
    </row>
    <row r="10">
      <c r="A10" s="61" t="s">
        <v>48</v>
      </c>
      <c r="B10" s="68"/>
      <c r="C10" s="69">
        <f t="shared" ref="C10:F10" si="7">SWITCH(C$9, "", "", C$9/$B$9)</f>
        <v>0</v>
      </c>
      <c r="D10" s="69">
        <f t="shared" si="7"/>
        <v>0</v>
      </c>
      <c r="E10" s="69">
        <f t="shared" si="7"/>
        <v>0.09090909091</v>
      </c>
      <c r="F10" s="69">
        <f t="shared" si="7"/>
        <v>0.09090909091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46</v>
      </c>
      <c r="G1" s="9"/>
      <c r="I1" s="27"/>
    </row>
    <row r="2">
      <c r="A2" s="51" t="s">
        <v>11</v>
      </c>
      <c r="B2" s="54">
        <f t="shared" ref="B2:B8" si="1">SWITCH($A2, "", "", INDIRECT("'"&amp;$A2&amp;"'!B$23"))</f>
        <v>3</v>
      </c>
      <c r="C2" s="55">
        <f t="shared" ref="C2:C8" si="2">SWITCH($A2, "", "", INDIRECT("'"&amp;$A2&amp;"'!C$23"))</f>
        <v>0</v>
      </c>
      <c r="D2" s="55">
        <f t="shared" ref="D2:D8" si="3">SWITCH($A2, "", "", INDIRECT("'"&amp;$A2&amp;"'!D$23"))</f>
        <v>0</v>
      </c>
      <c r="E2" s="55">
        <f t="shared" ref="E2:E8" si="4">SWITCH($A2, "", "", INDIRECT("'"&amp;$A2&amp;"'!E$23"))</f>
        <v>0</v>
      </c>
      <c r="F2" s="56">
        <f t="shared" ref="F2:F8" si="5">SWITCH($A2, "", "", INDIRECT("'"&amp;$A2&amp;"'!F$23"))</f>
        <v>0</v>
      </c>
      <c r="I2" s="27"/>
    </row>
    <row r="3">
      <c r="A3" s="57" t="s">
        <v>12</v>
      </c>
      <c r="B3" s="58">
        <f t="shared" si="1"/>
        <v>4</v>
      </c>
      <c r="C3" s="59">
        <f t="shared" si="2"/>
        <v>0</v>
      </c>
      <c r="D3" s="59">
        <f t="shared" si="3"/>
        <v>0</v>
      </c>
      <c r="E3" s="59">
        <f t="shared" si="4"/>
        <v>0</v>
      </c>
      <c r="F3" s="60">
        <f t="shared" si="5"/>
        <v>0</v>
      </c>
      <c r="I3" s="27"/>
    </row>
    <row r="4">
      <c r="A4" s="57" t="s">
        <v>13</v>
      </c>
      <c r="B4" s="58">
        <f t="shared" si="1"/>
        <v>4</v>
      </c>
      <c r="C4" s="59">
        <f t="shared" si="2"/>
        <v>0</v>
      </c>
      <c r="D4" s="59">
        <f t="shared" si="3"/>
        <v>1</v>
      </c>
      <c r="E4" s="59">
        <f t="shared" si="4"/>
        <v>0</v>
      </c>
      <c r="F4" s="60">
        <f t="shared" si="5"/>
        <v>0</v>
      </c>
      <c r="I4" s="27"/>
    </row>
    <row r="5">
      <c r="A5" s="57" t="s">
        <v>14</v>
      </c>
      <c r="B5" s="58">
        <f t="shared" si="1"/>
        <v>0</v>
      </c>
      <c r="C5" s="59">
        <f t="shared" si="2"/>
        <v>0</v>
      </c>
      <c r="D5" s="59">
        <f t="shared" si="3"/>
        <v>0</v>
      </c>
      <c r="E5" s="59">
        <f t="shared" si="4"/>
        <v>0</v>
      </c>
      <c r="F5" s="60">
        <f t="shared" si="5"/>
        <v>0</v>
      </c>
      <c r="I5" s="27"/>
    </row>
    <row r="6">
      <c r="A6" s="57" t="s">
        <v>15</v>
      </c>
      <c r="B6" s="58">
        <f t="shared" si="1"/>
        <v>0</v>
      </c>
      <c r="C6" s="59">
        <f t="shared" si="2"/>
        <v>0</v>
      </c>
      <c r="D6" s="59">
        <f t="shared" si="3"/>
        <v>0</v>
      </c>
      <c r="E6" s="59">
        <f t="shared" si="4"/>
        <v>0</v>
      </c>
      <c r="F6" s="60">
        <f t="shared" si="5"/>
        <v>0</v>
      </c>
      <c r="I6" s="27"/>
    </row>
    <row r="7">
      <c r="A7" s="57" t="s">
        <v>16</v>
      </c>
      <c r="B7" s="58">
        <f t="shared" si="1"/>
        <v>1</v>
      </c>
      <c r="C7" s="59">
        <f t="shared" si="2"/>
        <v>0</v>
      </c>
      <c r="D7" s="59">
        <f t="shared" si="3"/>
        <v>0</v>
      </c>
      <c r="E7" s="59">
        <f t="shared" si="4"/>
        <v>0</v>
      </c>
      <c r="F7" s="60">
        <f t="shared" si="5"/>
        <v>0</v>
      </c>
      <c r="I7" s="27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47</v>
      </c>
      <c r="B9" s="66">
        <f>SWITCH(SUM(B2:B8), 0, "", SUM(B2:B8))</f>
        <v>12</v>
      </c>
      <c r="C9" s="67">
        <f t="shared" ref="C9:F9" si="6">SWITCH($B$9, "", "", SUM(C$2:C$8))</f>
        <v>0</v>
      </c>
      <c r="D9" s="67">
        <f t="shared" si="6"/>
        <v>1</v>
      </c>
      <c r="E9" s="67">
        <f t="shared" si="6"/>
        <v>0</v>
      </c>
      <c r="F9" s="67">
        <f t="shared" si="6"/>
        <v>0</v>
      </c>
    </row>
    <row r="10">
      <c r="A10" s="61" t="s">
        <v>48</v>
      </c>
      <c r="B10" s="68"/>
      <c r="C10" s="69">
        <f t="shared" ref="C10:F10" si="7">SWITCH(C$9, "", "", C$9/$B$9)</f>
        <v>0</v>
      </c>
      <c r="D10" s="69">
        <f t="shared" si="7"/>
        <v>0.08333333333</v>
      </c>
      <c r="E10" s="69">
        <f t="shared" si="7"/>
        <v>0</v>
      </c>
      <c r="F10" s="69">
        <f t="shared" si="7"/>
        <v>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1" t="s">
        <v>2</v>
      </c>
      <c r="C1" s="52" t="s">
        <v>3</v>
      </c>
      <c r="D1" s="52" t="s">
        <v>4</v>
      </c>
      <c r="E1" s="52" t="s">
        <v>5</v>
      </c>
      <c r="F1" s="53" t="s">
        <v>46</v>
      </c>
      <c r="G1" s="9"/>
      <c r="I1" s="27"/>
    </row>
    <row r="2">
      <c r="A2" s="51" t="s">
        <v>11</v>
      </c>
      <c r="B2" s="54">
        <f t="shared" ref="B2:B8" si="1">SWITCH($A2, "", "", INDIRECT("'"&amp;$A2&amp;"'!B$24"))</f>
        <v>0</v>
      </c>
      <c r="C2" s="55">
        <f t="shared" ref="C2:C8" si="2">SWITCH($A2, "", "", INDIRECT("'"&amp;$A2&amp;"'!C$24"))</f>
        <v>0</v>
      </c>
      <c r="D2" s="55">
        <f t="shared" ref="D2:D8" si="3">SWITCH($A2, "", "", INDIRECT("'"&amp;$A2&amp;"'!D$24"))</f>
        <v>0</v>
      </c>
      <c r="E2" s="55">
        <f t="shared" ref="E2:E8" si="4">SWITCH($A2, "", "", INDIRECT("'"&amp;$A2&amp;"'!E$24"))</f>
        <v>0</v>
      </c>
      <c r="F2" s="56">
        <f t="shared" ref="F2:F8" si="5">SWITCH($A2, "", "", INDIRECT("'"&amp;$A2&amp;"'!F$24"))</f>
        <v>0</v>
      </c>
      <c r="I2" s="27"/>
    </row>
    <row r="3">
      <c r="A3" s="57" t="s">
        <v>12</v>
      </c>
      <c r="B3" s="58">
        <f t="shared" si="1"/>
        <v>2</v>
      </c>
      <c r="C3" s="59">
        <f t="shared" si="2"/>
        <v>0</v>
      </c>
      <c r="D3" s="59">
        <f t="shared" si="3"/>
        <v>0</v>
      </c>
      <c r="E3" s="59">
        <f t="shared" si="4"/>
        <v>0</v>
      </c>
      <c r="F3" s="60">
        <f t="shared" si="5"/>
        <v>0</v>
      </c>
      <c r="I3" s="27"/>
    </row>
    <row r="4">
      <c r="A4" s="57" t="s">
        <v>13</v>
      </c>
      <c r="B4" s="58">
        <f t="shared" si="1"/>
        <v>4</v>
      </c>
      <c r="C4" s="59">
        <f t="shared" si="2"/>
        <v>1</v>
      </c>
      <c r="D4" s="59">
        <f t="shared" si="3"/>
        <v>0</v>
      </c>
      <c r="E4" s="59">
        <f t="shared" si="4"/>
        <v>0</v>
      </c>
      <c r="F4" s="60">
        <f t="shared" si="5"/>
        <v>3</v>
      </c>
      <c r="I4" s="27"/>
    </row>
    <row r="5">
      <c r="A5" s="57" t="s">
        <v>14</v>
      </c>
      <c r="B5" s="58">
        <f t="shared" si="1"/>
        <v>2</v>
      </c>
      <c r="C5" s="59">
        <f t="shared" si="2"/>
        <v>0</v>
      </c>
      <c r="D5" s="59">
        <f t="shared" si="3"/>
        <v>0</v>
      </c>
      <c r="E5" s="59">
        <f t="shared" si="4"/>
        <v>0</v>
      </c>
      <c r="F5" s="60">
        <f t="shared" si="5"/>
        <v>0</v>
      </c>
      <c r="I5" s="27"/>
    </row>
    <row r="6">
      <c r="A6" s="57" t="s">
        <v>15</v>
      </c>
      <c r="B6" s="58">
        <f t="shared" si="1"/>
        <v>0</v>
      </c>
      <c r="C6" s="59">
        <f t="shared" si="2"/>
        <v>0</v>
      </c>
      <c r="D6" s="59">
        <f t="shared" si="3"/>
        <v>0</v>
      </c>
      <c r="E6" s="59">
        <f t="shared" si="4"/>
        <v>0</v>
      </c>
      <c r="F6" s="60">
        <f t="shared" si="5"/>
        <v>0</v>
      </c>
      <c r="I6" s="27"/>
    </row>
    <row r="7">
      <c r="A7" s="57" t="s">
        <v>16</v>
      </c>
      <c r="B7" s="58">
        <f t="shared" si="1"/>
        <v>0</v>
      </c>
      <c r="C7" s="59">
        <f t="shared" si="2"/>
        <v>0</v>
      </c>
      <c r="D7" s="59">
        <f t="shared" si="3"/>
        <v>0</v>
      </c>
      <c r="E7" s="59">
        <f t="shared" si="4"/>
        <v>0</v>
      </c>
      <c r="F7" s="60">
        <f t="shared" si="5"/>
        <v>0</v>
      </c>
      <c r="I7" s="27"/>
    </row>
    <row r="8">
      <c r="A8" s="61"/>
      <c r="B8" s="62" t="str">
        <f t="shared" si="1"/>
        <v/>
      </c>
      <c r="C8" s="63" t="str">
        <f t="shared" si="2"/>
        <v/>
      </c>
      <c r="D8" s="63" t="str">
        <f t="shared" si="3"/>
        <v/>
      </c>
      <c r="E8" s="63" t="str">
        <f t="shared" si="4"/>
        <v/>
      </c>
      <c r="F8" s="64" t="str">
        <f t="shared" si="5"/>
        <v/>
      </c>
    </row>
    <row r="9">
      <c r="A9" s="65" t="s">
        <v>47</v>
      </c>
      <c r="B9" s="66">
        <f>SWITCH(SUM(B2:B8), 0, "", SUM(B2:B8))</f>
        <v>8</v>
      </c>
      <c r="C9" s="67">
        <f t="shared" ref="C9:F9" si="6">SWITCH($B$9, "", "", SUM(C$2:C$8))</f>
        <v>1</v>
      </c>
      <c r="D9" s="67">
        <f t="shared" si="6"/>
        <v>0</v>
      </c>
      <c r="E9" s="67">
        <f t="shared" si="6"/>
        <v>0</v>
      </c>
      <c r="F9" s="67">
        <f t="shared" si="6"/>
        <v>3</v>
      </c>
    </row>
    <row r="10">
      <c r="A10" s="61" t="s">
        <v>48</v>
      </c>
      <c r="B10" s="68"/>
      <c r="C10" s="69">
        <f t="shared" ref="C10:F10" si="7">SWITCH(C$9, "", "", C$9/$B$9)</f>
        <v>0.125</v>
      </c>
      <c r="D10" s="69">
        <f t="shared" si="7"/>
        <v>0</v>
      </c>
      <c r="E10" s="69">
        <f t="shared" si="7"/>
        <v>0</v>
      </c>
      <c r="F10" s="69">
        <f t="shared" si="7"/>
        <v>0.375</v>
      </c>
    </row>
  </sheetData>
  <drawing r:id="rId1"/>
</worksheet>
</file>