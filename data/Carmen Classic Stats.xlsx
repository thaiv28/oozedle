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SCAB Y" sheetId="2" r:id="rId6"/>
    <sheet state="visible" name="SCAB X" sheetId="3" r:id="rId7"/>
    <sheet state="visible" name="Chico" sheetId="4" r:id="rId8"/>
    <sheet state="visible" name="SJSU" sheetId="5" r:id="rId9"/>
    <sheet state="visible" name="SCAR" sheetId="6" r:id="rId10"/>
    <sheet state="visible" name="Cal B" sheetId="7" r:id="rId11"/>
    <sheet state="visible" name="Stanford" sheetId="8" r:id="rId12"/>
    <sheet state="visible" name="Theo" sheetId="9" r:id="rId13"/>
    <sheet state="visible" name="Gavin" sheetId="10" r:id="rId14"/>
    <sheet state="visible" name="Jayden" sheetId="11" r:id="rId15"/>
    <sheet state="visible" name="Rowan" sheetId="12" r:id="rId16"/>
    <sheet state="visible" name="Farmer" sheetId="13" r:id="rId17"/>
    <sheet state="visible" name="Colin" sheetId="14" r:id="rId18"/>
    <sheet state="visible" name="Tripp" sheetId="15" r:id="rId19"/>
    <sheet state="visible" name="Hugo" sheetId="16" r:id="rId20"/>
    <sheet state="visible" name="Mithu" sheetId="17" r:id="rId21"/>
    <sheet state="visible" name="Dario" sheetId="18" r:id="rId22"/>
    <sheet state="visible" name="Orion" sheetId="19" r:id="rId23"/>
    <sheet state="visible" name="Jay" sheetId="20" r:id="rId24"/>
    <sheet state="visible" name="Malcolm" sheetId="21" r:id="rId25"/>
    <sheet state="visible" name="Preston" sheetId="22" r:id="rId26"/>
    <sheet state="visible" name="Paul" sheetId="23" r:id="rId27"/>
    <sheet state="visible" name="Jacob" sheetId="24" r:id="rId28"/>
    <sheet state="visible" name="Thai" sheetId="25" r:id="rId29"/>
    <sheet state="visible" name="Evan" sheetId="26" r:id="rId30"/>
    <sheet state="visible" name="Chappy" sheetId="27" r:id="rId31"/>
    <sheet state="visible" name="Cole" sheetId="28" r:id="rId32"/>
    <sheet state="visible" name="Alex" sheetId="29" r:id="rId33"/>
    <sheet state="visible" name="Nick" sheetId="30" r:id="rId34"/>
    <sheet state="visible" name="Tim" sheetId="31" r:id="rId35"/>
    <sheet state="visible" name="Ian" sheetId="32" r:id="rId36"/>
  </sheets>
  <definedNames/>
  <calcPr/>
</workbook>
</file>

<file path=xl/sharedStrings.xml><?xml version="1.0" encoding="utf-8"?>
<sst xmlns="http://schemas.openxmlformats.org/spreadsheetml/2006/main" count="595" uniqueCount="50">
  <si>
    <t>Player Stats</t>
  </si>
  <si>
    <t>Game Stats</t>
  </si>
  <si>
    <t>Points Played</t>
  </si>
  <si>
    <t>Assists</t>
  </si>
  <si>
    <t>Goals</t>
  </si>
  <si>
    <t>Blocks</t>
  </si>
  <si>
    <t>Turnovers</t>
  </si>
  <si>
    <t>Assists/Pt</t>
  </si>
  <si>
    <t>Goals/Pt</t>
  </si>
  <si>
    <t>D's/Pt</t>
  </si>
  <si>
    <t>Turnovers/Pt</t>
  </si>
  <si>
    <t>SCAB Y</t>
  </si>
  <si>
    <t>SCAB X</t>
  </si>
  <si>
    <t>Chico</t>
  </si>
  <si>
    <t>SJSU</t>
  </si>
  <si>
    <t>SCAR</t>
  </si>
  <si>
    <t>Cal B</t>
  </si>
  <si>
    <t>Stanford</t>
  </si>
  <si>
    <t>Theo</t>
  </si>
  <si>
    <t>Goals Scored</t>
  </si>
  <si>
    <t>Gavin</t>
  </si>
  <si>
    <t>Goals Given</t>
  </si>
  <si>
    <t>Jayden</t>
  </si>
  <si>
    <t>Total Points</t>
  </si>
  <si>
    <t>Rowan</t>
  </si>
  <si>
    <t>Farmer</t>
  </si>
  <si>
    <t>Colin</t>
  </si>
  <si>
    <t>Blocks/Pt</t>
  </si>
  <si>
    <t>Tripp</t>
  </si>
  <si>
    <t>Hugo</t>
  </si>
  <si>
    <t>Mithu</t>
  </si>
  <si>
    <t>Dario</t>
  </si>
  <si>
    <t>Orion</t>
  </si>
  <si>
    <t>Jay</t>
  </si>
  <si>
    <t>Malcolm</t>
  </si>
  <si>
    <t>Preston</t>
  </si>
  <si>
    <t>Paul</t>
  </si>
  <si>
    <t>Jacob</t>
  </si>
  <si>
    <t>Thai</t>
  </si>
  <si>
    <t>Evan</t>
  </si>
  <si>
    <t>Chappy</t>
  </si>
  <si>
    <t>Cole</t>
  </si>
  <si>
    <t>Alex</t>
  </si>
  <si>
    <t>Nick</t>
  </si>
  <si>
    <t>Tim</t>
  </si>
  <si>
    <t>Ian</t>
  </si>
  <si>
    <t>Name</t>
  </si>
  <si>
    <t>Turns</t>
  </si>
  <si>
    <t>Total</t>
  </si>
  <si>
    <t>Total/Pts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</si>
</sst>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vertical="bottom"/>
    </xf>
    <xf borderId="5" fillId="2" fontId="1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5" fillId="2" fontId="2" numFmtId="0" xfId="0" applyAlignment="1" applyBorder="1" applyFont="1">
      <alignment readingOrder="0" vertical="bottom"/>
    </xf>
    <xf borderId="5" fillId="2" fontId="1" numFmtId="0" xfId="0" applyAlignment="1" applyBorder="1" applyFont="1">
      <alignment vertical="bottom"/>
    </xf>
    <xf borderId="5" fillId="2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6" fillId="0" fontId="1" numFmtId="4" xfId="0" applyAlignment="1" applyBorder="1" applyFont="1" applyNumberFormat="1">
      <alignment horizontal="right" vertical="bottom"/>
    </xf>
    <xf borderId="7" fillId="0" fontId="1" numFmtId="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7" fillId="0" fontId="1" numFmtId="0" xfId="0" applyAlignment="1" applyBorder="1" applyFont="1">
      <alignment horizontal="right" vertical="bottom"/>
    </xf>
    <xf borderId="8" fillId="0" fontId="2" numFmtId="0" xfId="0" applyAlignment="1" applyBorder="1" applyFont="1">
      <alignment readingOrder="0" vertical="bottom"/>
    </xf>
    <xf borderId="8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9" fillId="0" fontId="1" numFmtId="4" xfId="0" applyAlignment="1" applyBorder="1" applyFont="1" applyNumberFormat="1">
      <alignment horizontal="right" vertical="bottom"/>
    </xf>
    <xf borderId="8" fillId="0" fontId="2" numFmtId="0" xfId="0" applyAlignment="1" applyBorder="1" applyFont="1">
      <alignment vertical="bottom"/>
    </xf>
    <xf borderId="8" fillId="0" fontId="1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9" fillId="0" fontId="1" numFmtId="0" xfId="0" applyAlignment="1" applyBorder="1" applyFont="1">
      <alignment horizontal="right" readingOrder="0" vertical="bottom"/>
    </xf>
    <xf borderId="9" fillId="0" fontId="1" numFmtId="0" xfId="0" applyAlignment="1" applyBorder="1" applyFont="1">
      <alignment horizontal="right" vertical="bottom"/>
    </xf>
    <xf borderId="8" fillId="0" fontId="1" numFmtId="4" xfId="0" applyAlignment="1" applyBorder="1" applyFont="1" applyNumberFormat="1">
      <alignment horizontal="right" vertical="bottom"/>
    </xf>
    <xf borderId="10" fillId="0" fontId="2" numFmtId="0" xfId="0" applyAlignment="1" applyBorder="1" applyFont="1">
      <alignment vertical="bottom"/>
    </xf>
    <xf borderId="10" fillId="0" fontId="1" numFmtId="4" xfId="0" applyAlignment="1" applyBorder="1" applyFont="1" applyNumberFormat="1">
      <alignment horizontal="right" vertical="bottom"/>
    </xf>
    <xf borderId="11" fillId="0" fontId="1" numFmtId="4" xfId="0" applyAlignment="1" applyBorder="1" applyFont="1" applyNumberFormat="1">
      <alignment horizontal="right" vertical="bottom"/>
    </xf>
    <xf borderId="12" fillId="0" fontId="1" numFmtId="4" xfId="0" applyAlignment="1" applyBorder="1" applyFont="1" applyNumberFormat="1">
      <alignment horizontal="right" vertical="bottom"/>
    </xf>
    <xf borderId="10" fillId="0" fontId="2" numFmtId="0" xfId="0" applyAlignment="1" applyBorder="1" applyFont="1">
      <alignment readingOrder="0" vertical="bottom"/>
    </xf>
    <xf borderId="10" fillId="0" fontId="1" numFmtId="0" xfId="0" applyAlignment="1" applyBorder="1" applyFont="1">
      <alignment horizontal="right" vertical="bottom"/>
    </xf>
    <xf borderId="11" fillId="0" fontId="1" numFmtId="0" xfId="0" applyAlignment="1" applyBorder="1" applyFont="1">
      <alignment horizontal="right" vertical="bottom"/>
    </xf>
    <xf borderId="2" fillId="3" fontId="4" numFmtId="0" xfId="0" applyAlignment="1" applyBorder="1" applyFill="1" applyFont="1">
      <alignment readingOrder="0"/>
    </xf>
    <xf borderId="3" fillId="3" fontId="4" numFmtId="0" xfId="0" applyAlignment="1" applyBorder="1" applyFont="1">
      <alignment readingOrder="0"/>
    </xf>
    <xf borderId="4" fillId="3" fontId="4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9" fillId="0" fontId="5" numFmtId="0" xfId="0" applyAlignment="1" applyBorder="1" applyFont="1">
      <alignment readingOrder="0"/>
    </xf>
    <xf borderId="14" fillId="0" fontId="5" numFmtId="0" xfId="0" applyAlignment="1" applyBorder="1" applyFont="1">
      <alignment readingOrder="0"/>
    </xf>
    <xf borderId="11" fillId="0" fontId="5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0" fillId="0" fontId="5" numFmtId="0" xfId="0" applyFont="1"/>
    <xf borderId="1" fillId="2" fontId="2" numFmtId="0" xfId="0" applyAlignment="1" applyBorder="1" applyFont="1">
      <alignment readingOrder="0" vertical="bottom"/>
    </xf>
    <xf borderId="6" fillId="2" fontId="2" numFmtId="0" xfId="0" applyAlignment="1" applyBorder="1" applyFont="1">
      <alignment readingOrder="0" vertical="bottom"/>
    </xf>
    <xf borderId="7" fillId="2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8" fillId="2" fontId="2" numFmtId="0" xfId="0" applyAlignment="1" applyBorder="1" applyFont="1">
      <alignment readingOrder="0" vertical="bottom"/>
    </xf>
    <xf borderId="8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9" fillId="0" fontId="1" numFmtId="0" xfId="0" applyAlignment="1" applyBorder="1" applyFont="1">
      <alignment horizontal="right" vertical="bottom"/>
    </xf>
    <xf borderId="10" fillId="2" fontId="4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8" fillId="2" fontId="4" numFmtId="0" xfId="0" applyBorder="1" applyFont="1"/>
    <xf borderId="0" fillId="2" fontId="4" numFmtId="0" xfId="0" applyFont="1"/>
    <xf borderId="10" fillId="2" fontId="4" numFmtId="4" xfId="0" applyBorder="1" applyFont="1" applyNumberFormat="1"/>
    <xf borderId="11" fillId="2" fontId="4" numFmtId="4" xfId="0" applyBorder="1" applyFont="1" applyNumberFormat="1"/>
    <xf borderId="0" fillId="0" fontId="5" numFmtId="4" xfId="0" applyFont="1" applyNumberFormat="1"/>
    <xf borderId="10" fillId="0" fontId="1" numFmtId="0" xfId="0" applyAlignment="1" applyBorder="1" applyFont="1">
      <alignment horizontal="right" vertical="bottom"/>
    </xf>
    <xf borderId="11" fillId="0" fontId="1" numFmtId="0" xfId="0" applyAlignment="1" applyBorder="1" applyFont="1">
      <alignment horizontal="right" vertical="bottom"/>
    </xf>
    <xf borderId="12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9">
    <tableStyle count="3" pivot="0" name="Summary-style">
      <tableStyleElement dxfId="1" type="headerRow"/>
      <tableStyleElement dxfId="2" type="firstRowStripe"/>
      <tableStyleElement dxfId="3" type="secondRowStripe"/>
    </tableStyle>
    <tableStyle count="2" pivot="0" name="Summary-style 2">
      <tableStyleElement dxfId="2" type="firstRowStripe"/>
      <tableStyleElement dxfId="3" type="secondRowStripe"/>
    </tableStyle>
    <tableStyle count="2" pivot="0" name="SCAB Y-style">
      <tableStyleElement dxfId="2" type="firstRowStripe"/>
      <tableStyleElement dxfId="3" type="secondRowStripe"/>
    </tableStyle>
    <tableStyle count="2" pivot="0" name="SCAB X-style">
      <tableStyleElement dxfId="2" type="firstRowStripe"/>
      <tableStyleElement dxfId="3" type="secondRowStripe"/>
    </tableStyle>
    <tableStyle count="2" pivot="0" name="Chico-style">
      <tableStyleElement dxfId="2" type="firstRowStripe"/>
      <tableStyleElement dxfId="3" type="secondRowStripe"/>
    </tableStyle>
    <tableStyle count="2" pivot="0" name="SJSU-style">
      <tableStyleElement dxfId="2" type="firstRowStripe"/>
      <tableStyleElement dxfId="3" type="secondRowStripe"/>
    </tableStyle>
    <tableStyle count="2" pivot="0" name="SCAR-style">
      <tableStyleElement dxfId="2" type="firstRowStripe"/>
      <tableStyleElement dxfId="3" type="secondRowStripe"/>
    </tableStyle>
    <tableStyle count="2" pivot="0" name="Cal B-style">
      <tableStyleElement dxfId="2" type="firstRowStripe"/>
      <tableStyleElement dxfId="3" type="secondRowStripe"/>
    </tableStyle>
    <tableStyle count="2" pivot="0" name="Stanford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J26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L3:R9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ummary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F25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CAB Y-style" showColumnStripes="0" showFirstColumn="1" showLastColumn="1" showRowStripes="1"/>
</table>
</file>

<file path=xl/tables/table4.xml><?xml version="1.0" encoding="utf-8"?>
<table xmlns="http://schemas.openxmlformats.org/spreadsheetml/2006/main" headerRowCount="0" ref="A2:F25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CAB X-style" showColumnStripes="0" showFirstColumn="1" showLastColumn="1" showRowStripes="1"/>
</table>
</file>

<file path=xl/tables/table5.xml><?xml version="1.0" encoding="utf-8"?>
<table xmlns="http://schemas.openxmlformats.org/spreadsheetml/2006/main" headerRowCount="0" ref="A2:F25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co-style" showColumnStripes="0" showFirstColumn="1" showLastColumn="1" showRowStripes="1"/>
</table>
</file>

<file path=xl/tables/table6.xml><?xml version="1.0" encoding="utf-8"?>
<table xmlns="http://schemas.openxmlformats.org/spreadsheetml/2006/main" headerRowCount="0" ref="A2:F25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JSU-style" showColumnStripes="0" showFirstColumn="1" showLastColumn="1" showRowStripes="1"/>
</table>
</file>

<file path=xl/tables/table7.xml><?xml version="1.0" encoding="utf-8"?>
<table xmlns="http://schemas.openxmlformats.org/spreadsheetml/2006/main" headerRowCount="0" ref="A2:F25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CAR-style" showColumnStripes="0" showFirstColumn="1" showLastColumn="1" showRowStripes="1"/>
</table>
</file>

<file path=xl/tables/table8.xml><?xml version="1.0" encoding="utf-8"?>
<table xmlns="http://schemas.openxmlformats.org/spreadsheetml/2006/main" headerRowCount="0" ref="A2:F25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al B-style" showColumnStripes="0" showFirstColumn="1" showLastColumn="1" showRowStripes="1"/>
</table>
</file>

<file path=xl/tables/table9.xml><?xml version="1.0" encoding="utf-8"?>
<table xmlns="http://schemas.openxmlformats.org/spreadsheetml/2006/main" headerRowCount="0" ref="A2:F25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tanfo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/>
      <c r="L1" s="2" t="s">
        <v>1</v>
      </c>
      <c r="M1" s="3"/>
      <c r="N1" s="3"/>
      <c r="O1" s="3"/>
      <c r="P1" s="3"/>
      <c r="Q1" s="3"/>
      <c r="R1" s="3"/>
      <c r="S1" s="4"/>
    </row>
    <row r="2">
      <c r="A2" s="6"/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5"/>
      <c r="L2" s="9"/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</row>
    <row r="3">
      <c r="A3" s="11" t="s">
        <v>18</v>
      </c>
      <c r="B3" s="12">
        <f t="shared" ref="B3:B26" si="2">INDIRECT("'"&amp;$A3&amp;"'!$B$9")</f>
        <v>52</v>
      </c>
      <c r="C3" s="13">
        <f t="shared" ref="C3:C26" si="3">INDIRECT("'"&amp;$A3&amp;"'!$C$9")</f>
        <v>12</v>
      </c>
      <c r="D3" s="13">
        <f t="shared" ref="D3:D26" si="4">INDIRECT("'"&amp;$A3&amp;"'!$D$9")</f>
        <v>4</v>
      </c>
      <c r="E3" s="13">
        <f t="shared" ref="E3:E26" si="5">INDIRECT("'"&amp;$A3&amp;"'!$E$9")</f>
        <v>9</v>
      </c>
      <c r="F3" s="13">
        <f t="shared" ref="F3:F26" si="6">INDIRECT("'"&amp;$A3&amp;"'!$F$9")</f>
        <v>15</v>
      </c>
      <c r="G3" s="14">
        <f t="shared" ref="G3:G26" si="7">INDIRECT("'"&amp;$A3&amp;"'!$C$10")</f>
        <v>0.2307692308</v>
      </c>
      <c r="H3" s="14">
        <f t="shared" ref="H3:H26" si="8">INDIRECT("'"&amp;$A3&amp;"'!$D$10")</f>
        <v>0.07692307692</v>
      </c>
      <c r="I3" s="14">
        <f t="shared" ref="I3:I26" si="9">INDIRECT("'"&amp;$A3&amp;"'!$E$10")</f>
        <v>0.1730769231</v>
      </c>
      <c r="J3" s="15">
        <f t="shared" ref="J3:J26" si="10">INDIRECT("'"&amp;$A3&amp;"'!$F$10")</f>
        <v>0.2884615385</v>
      </c>
      <c r="K3" s="5"/>
      <c r="L3" s="16" t="s">
        <v>19</v>
      </c>
      <c r="M3" s="12">
        <f t="shared" ref="M3:S3" si="1">SUM(INDIRECT("'"&amp;M2&amp;"'!D:D"))</f>
        <v>8</v>
      </c>
      <c r="N3" s="13">
        <f t="shared" si="1"/>
        <v>13</v>
      </c>
      <c r="O3" s="13">
        <f t="shared" si="1"/>
        <v>9</v>
      </c>
      <c r="P3" s="13">
        <f t="shared" si="1"/>
        <v>11</v>
      </c>
      <c r="Q3" s="13">
        <f t="shared" si="1"/>
        <v>6</v>
      </c>
      <c r="R3" s="13">
        <f t="shared" si="1"/>
        <v>10</v>
      </c>
      <c r="S3" s="17">
        <f t="shared" si="1"/>
        <v>3</v>
      </c>
    </row>
    <row r="4">
      <c r="A4" s="18" t="s">
        <v>20</v>
      </c>
      <c r="B4" s="19">
        <f t="shared" si="2"/>
        <v>61</v>
      </c>
      <c r="C4" s="20">
        <f t="shared" si="3"/>
        <v>4</v>
      </c>
      <c r="D4" s="20">
        <f t="shared" si="4"/>
        <v>3</v>
      </c>
      <c r="E4" s="20">
        <f t="shared" si="5"/>
        <v>2</v>
      </c>
      <c r="F4" s="20">
        <f t="shared" si="6"/>
        <v>12</v>
      </c>
      <c r="G4" s="21">
        <f t="shared" si="7"/>
        <v>0.06557377049</v>
      </c>
      <c r="H4" s="21">
        <f t="shared" si="8"/>
        <v>0.04918032787</v>
      </c>
      <c r="I4" s="21">
        <f t="shared" si="9"/>
        <v>0.03278688525</v>
      </c>
      <c r="J4" s="22">
        <f t="shared" si="10"/>
        <v>0.1967213115</v>
      </c>
      <c r="K4" s="5"/>
      <c r="L4" s="23" t="s">
        <v>21</v>
      </c>
      <c r="M4" s="24">
        <v>9.0</v>
      </c>
      <c r="N4" s="25">
        <v>7.0</v>
      </c>
      <c r="O4" s="25">
        <v>13.0</v>
      </c>
      <c r="P4" s="25">
        <v>12.0</v>
      </c>
      <c r="Q4" s="25">
        <v>13.0</v>
      </c>
      <c r="R4" s="25">
        <v>10.0</v>
      </c>
      <c r="S4" s="26">
        <v>9.0</v>
      </c>
    </row>
    <row r="5">
      <c r="A5" s="18" t="s">
        <v>22</v>
      </c>
      <c r="B5" s="19" t="str">
        <f t="shared" si="2"/>
        <v/>
      </c>
      <c r="C5" s="20" t="str">
        <f t="shared" si="3"/>
        <v/>
      </c>
      <c r="D5" s="20" t="str">
        <f t="shared" si="4"/>
        <v/>
      </c>
      <c r="E5" s="20" t="str">
        <f t="shared" si="5"/>
        <v/>
      </c>
      <c r="F5" s="20" t="str">
        <f t="shared" si="6"/>
        <v/>
      </c>
      <c r="G5" s="21" t="str">
        <f t="shared" si="7"/>
        <v/>
      </c>
      <c r="H5" s="21" t="str">
        <f t="shared" si="8"/>
        <v/>
      </c>
      <c r="I5" s="21" t="str">
        <f t="shared" si="9"/>
        <v/>
      </c>
      <c r="J5" s="22" t="str">
        <f t="shared" si="10"/>
        <v/>
      </c>
      <c r="K5" s="5"/>
      <c r="L5" s="23" t="s">
        <v>23</v>
      </c>
      <c r="M5" s="19">
        <f t="shared" ref="M5:S5" si="11">SUM(M3:M4)</f>
        <v>17</v>
      </c>
      <c r="N5" s="20">
        <f t="shared" si="11"/>
        <v>20</v>
      </c>
      <c r="O5" s="20">
        <f t="shared" si="11"/>
        <v>22</v>
      </c>
      <c r="P5" s="20">
        <f t="shared" si="11"/>
        <v>23</v>
      </c>
      <c r="Q5" s="20">
        <f t="shared" si="11"/>
        <v>19</v>
      </c>
      <c r="R5" s="20">
        <f t="shared" si="11"/>
        <v>20</v>
      </c>
      <c r="S5" s="27">
        <f t="shared" si="11"/>
        <v>12</v>
      </c>
    </row>
    <row r="6">
      <c r="A6" s="18" t="s">
        <v>24</v>
      </c>
      <c r="B6" s="19">
        <f t="shared" si="2"/>
        <v>69</v>
      </c>
      <c r="C6" s="20">
        <f t="shared" si="3"/>
        <v>7</v>
      </c>
      <c r="D6" s="20">
        <f t="shared" si="4"/>
        <v>9</v>
      </c>
      <c r="E6" s="20">
        <f t="shared" si="5"/>
        <v>3</v>
      </c>
      <c r="F6" s="20">
        <f t="shared" si="6"/>
        <v>3</v>
      </c>
      <c r="G6" s="21">
        <f t="shared" si="7"/>
        <v>0.1014492754</v>
      </c>
      <c r="H6" s="21">
        <f t="shared" si="8"/>
        <v>0.1304347826</v>
      </c>
      <c r="I6" s="21">
        <f t="shared" si="9"/>
        <v>0.04347826087</v>
      </c>
      <c r="J6" s="22">
        <f t="shared" si="10"/>
        <v>0.04347826087</v>
      </c>
      <c r="K6" s="5"/>
      <c r="L6" s="18" t="s">
        <v>5</v>
      </c>
      <c r="M6" s="19">
        <f t="shared" ref="M6:S6" si="12">SUM(INDIRECT("'"&amp;M2&amp;"'!E:E"))</f>
        <v>5</v>
      </c>
      <c r="N6" s="20">
        <f t="shared" si="12"/>
        <v>10</v>
      </c>
      <c r="O6" s="20">
        <f t="shared" si="12"/>
        <v>7</v>
      </c>
      <c r="P6" s="20">
        <f t="shared" si="12"/>
        <v>6</v>
      </c>
      <c r="Q6" s="20">
        <f t="shared" si="12"/>
        <v>7</v>
      </c>
      <c r="R6" s="20">
        <f t="shared" si="12"/>
        <v>9</v>
      </c>
      <c r="S6" s="27">
        <f t="shared" si="12"/>
        <v>2</v>
      </c>
    </row>
    <row r="7">
      <c r="A7" s="18" t="s">
        <v>25</v>
      </c>
      <c r="B7" s="19">
        <f t="shared" si="2"/>
        <v>66</v>
      </c>
      <c r="C7" s="20">
        <f t="shared" si="3"/>
        <v>1</v>
      </c>
      <c r="D7" s="20">
        <f t="shared" si="4"/>
        <v>0</v>
      </c>
      <c r="E7" s="20">
        <f t="shared" si="5"/>
        <v>1</v>
      </c>
      <c r="F7" s="20">
        <f t="shared" si="6"/>
        <v>6</v>
      </c>
      <c r="G7" s="21">
        <f t="shared" si="7"/>
        <v>0.01515151515</v>
      </c>
      <c r="H7" s="21">
        <f t="shared" si="8"/>
        <v>0</v>
      </c>
      <c r="I7" s="21">
        <f t="shared" si="9"/>
        <v>0.01515151515</v>
      </c>
      <c r="J7" s="22">
        <f t="shared" si="10"/>
        <v>0.09090909091</v>
      </c>
      <c r="K7" s="5"/>
      <c r="L7" s="23" t="s">
        <v>6</v>
      </c>
      <c r="M7" s="19">
        <f t="shared" ref="M7:S7" si="13">SUM(INDIRECT("'"&amp;M2&amp;"'!F:F"))</f>
        <v>17</v>
      </c>
      <c r="N7" s="20">
        <f t="shared" si="13"/>
        <v>16</v>
      </c>
      <c r="O7" s="20">
        <f t="shared" si="13"/>
        <v>17</v>
      </c>
      <c r="P7" s="20">
        <f t="shared" si="13"/>
        <v>19</v>
      </c>
      <c r="Q7" s="20">
        <f t="shared" si="13"/>
        <v>17</v>
      </c>
      <c r="R7" s="20">
        <f t="shared" si="13"/>
        <v>16</v>
      </c>
      <c r="S7" s="27">
        <f t="shared" si="13"/>
        <v>11</v>
      </c>
    </row>
    <row r="8">
      <c r="A8" s="18" t="s">
        <v>26</v>
      </c>
      <c r="B8" s="19">
        <f t="shared" si="2"/>
        <v>28</v>
      </c>
      <c r="C8" s="20">
        <f t="shared" si="3"/>
        <v>0</v>
      </c>
      <c r="D8" s="20">
        <f t="shared" si="4"/>
        <v>3</v>
      </c>
      <c r="E8" s="20">
        <f t="shared" si="5"/>
        <v>4</v>
      </c>
      <c r="F8" s="20">
        <f t="shared" si="6"/>
        <v>2</v>
      </c>
      <c r="G8" s="21">
        <f t="shared" si="7"/>
        <v>0</v>
      </c>
      <c r="H8" s="21">
        <f t="shared" si="8"/>
        <v>0.1071428571</v>
      </c>
      <c r="I8" s="21">
        <f t="shared" si="9"/>
        <v>0.1428571429</v>
      </c>
      <c r="J8" s="22">
        <f t="shared" si="10"/>
        <v>0.07142857143</v>
      </c>
      <c r="K8" s="5"/>
      <c r="L8" s="18" t="s">
        <v>27</v>
      </c>
      <c r="M8" s="28">
        <f t="shared" ref="M8:S8" si="14">M6/M5</f>
        <v>0.2941176471</v>
      </c>
      <c r="N8" s="21">
        <f t="shared" si="14"/>
        <v>0.5</v>
      </c>
      <c r="O8" s="21">
        <f t="shared" si="14"/>
        <v>0.3181818182</v>
      </c>
      <c r="P8" s="21">
        <f t="shared" si="14"/>
        <v>0.2608695652</v>
      </c>
      <c r="Q8" s="21">
        <f t="shared" si="14"/>
        <v>0.3684210526</v>
      </c>
      <c r="R8" s="21">
        <f t="shared" si="14"/>
        <v>0.45</v>
      </c>
      <c r="S8" s="22">
        <f t="shared" si="14"/>
        <v>0.1666666667</v>
      </c>
    </row>
    <row r="9">
      <c r="A9" s="18" t="s">
        <v>28</v>
      </c>
      <c r="B9" s="19">
        <f t="shared" si="2"/>
        <v>37</v>
      </c>
      <c r="C9" s="20">
        <f t="shared" si="3"/>
        <v>6</v>
      </c>
      <c r="D9" s="20">
        <f t="shared" si="4"/>
        <v>3</v>
      </c>
      <c r="E9" s="20">
        <f t="shared" si="5"/>
        <v>1</v>
      </c>
      <c r="F9" s="20">
        <f t="shared" si="6"/>
        <v>8</v>
      </c>
      <c r="G9" s="21">
        <f t="shared" si="7"/>
        <v>0.1621621622</v>
      </c>
      <c r="H9" s="21">
        <f t="shared" si="8"/>
        <v>0.08108108108</v>
      </c>
      <c r="I9" s="21">
        <f t="shared" si="9"/>
        <v>0.02702702703</v>
      </c>
      <c r="J9" s="22">
        <f t="shared" si="10"/>
        <v>0.2162162162</v>
      </c>
      <c r="K9" s="5"/>
      <c r="L9" s="29" t="s">
        <v>10</v>
      </c>
      <c r="M9" s="30">
        <f t="shared" ref="M9:S9" si="15">M7/M5</f>
        <v>1</v>
      </c>
      <c r="N9" s="31">
        <f t="shared" si="15"/>
        <v>0.8</v>
      </c>
      <c r="O9" s="31">
        <f t="shared" si="15"/>
        <v>0.7727272727</v>
      </c>
      <c r="P9" s="31">
        <f t="shared" si="15"/>
        <v>0.8260869565</v>
      </c>
      <c r="Q9" s="31">
        <f t="shared" si="15"/>
        <v>0.8947368421</v>
      </c>
      <c r="R9" s="31">
        <f t="shared" si="15"/>
        <v>0.8</v>
      </c>
      <c r="S9" s="32">
        <f t="shared" si="15"/>
        <v>0.9166666667</v>
      </c>
    </row>
    <row r="10">
      <c r="A10" s="18" t="s">
        <v>29</v>
      </c>
      <c r="B10" s="19">
        <f t="shared" si="2"/>
        <v>39</v>
      </c>
      <c r="C10" s="20">
        <f t="shared" si="3"/>
        <v>2</v>
      </c>
      <c r="D10" s="20">
        <f t="shared" si="4"/>
        <v>3</v>
      </c>
      <c r="E10" s="20">
        <f t="shared" si="5"/>
        <v>0</v>
      </c>
      <c r="F10" s="20">
        <f t="shared" si="6"/>
        <v>8</v>
      </c>
      <c r="G10" s="21">
        <f t="shared" si="7"/>
        <v>0.05128205128</v>
      </c>
      <c r="H10" s="21">
        <f t="shared" si="8"/>
        <v>0.07692307692</v>
      </c>
      <c r="I10" s="21">
        <f t="shared" si="9"/>
        <v>0</v>
      </c>
      <c r="J10" s="22">
        <f t="shared" si="10"/>
        <v>0.2051282051</v>
      </c>
      <c r="K10" s="5"/>
      <c r="L10" s="5"/>
      <c r="M10" s="5"/>
      <c r="N10" s="5"/>
      <c r="O10" s="5"/>
      <c r="P10" s="5"/>
      <c r="Q10" s="5"/>
      <c r="R10" s="5"/>
      <c r="S10" s="5"/>
    </row>
    <row r="11">
      <c r="A11" s="18" t="s">
        <v>30</v>
      </c>
      <c r="B11" s="19">
        <f t="shared" si="2"/>
        <v>55</v>
      </c>
      <c r="C11" s="20">
        <f t="shared" si="3"/>
        <v>6</v>
      </c>
      <c r="D11" s="20">
        <f t="shared" si="4"/>
        <v>4</v>
      </c>
      <c r="E11" s="20">
        <f t="shared" si="5"/>
        <v>1</v>
      </c>
      <c r="F11" s="20">
        <f t="shared" si="6"/>
        <v>5</v>
      </c>
      <c r="G11" s="21">
        <f t="shared" si="7"/>
        <v>0.1090909091</v>
      </c>
      <c r="H11" s="21">
        <f t="shared" si="8"/>
        <v>0.07272727273</v>
      </c>
      <c r="I11" s="21">
        <f t="shared" si="9"/>
        <v>0.01818181818</v>
      </c>
      <c r="J11" s="22">
        <f t="shared" si="10"/>
        <v>0.09090909091</v>
      </c>
      <c r="K11" s="5"/>
      <c r="L11" s="5"/>
      <c r="M11" s="5"/>
      <c r="N11" s="5"/>
      <c r="O11" s="5"/>
      <c r="P11" s="5"/>
      <c r="Q11" s="5"/>
      <c r="R11" s="5"/>
      <c r="S11" s="5"/>
    </row>
    <row r="12">
      <c r="A12" s="18" t="s">
        <v>31</v>
      </c>
      <c r="B12" s="19">
        <f t="shared" si="2"/>
        <v>21</v>
      </c>
      <c r="C12" s="20">
        <f t="shared" si="3"/>
        <v>0</v>
      </c>
      <c r="D12" s="20">
        <f t="shared" si="4"/>
        <v>4</v>
      </c>
      <c r="E12" s="20">
        <f t="shared" si="5"/>
        <v>1</v>
      </c>
      <c r="F12" s="20">
        <f t="shared" si="6"/>
        <v>2</v>
      </c>
      <c r="G12" s="21">
        <f t="shared" si="7"/>
        <v>0</v>
      </c>
      <c r="H12" s="21">
        <f t="shared" si="8"/>
        <v>0.1904761905</v>
      </c>
      <c r="I12" s="21">
        <f t="shared" si="9"/>
        <v>0.04761904762</v>
      </c>
      <c r="J12" s="22">
        <f t="shared" si="10"/>
        <v>0.09523809524</v>
      </c>
      <c r="K12" s="5"/>
      <c r="L12" s="5"/>
      <c r="M12" s="5"/>
      <c r="N12" s="5"/>
      <c r="O12" s="5"/>
      <c r="P12" s="5"/>
      <c r="Q12" s="5"/>
      <c r="R12" s="5"/>
      <c r="S12" s="5"/>
    </row>
    <row r="13">
      <c r="A13" s="18" t="s">
        <v>32</v>
      </c>
      <c r="B13" s="19" t="str">
        <f t="shared" si="2"/>
        <v/>
      </c>
      <c r="C13" s="20" t="str">
        <f t="shared" si="3"/>
        <v/>
      </c>
      <c r="D13" s="20" t="str">
        <f t="shared" si="4"/>
        <v/>
      </c>
      <c r="E13" s="20" t="str">
        <f t="shared" si="5"/>
        <v/>
      </c>
      <c r="F13" s="20" t="str">
        <f t="shared" si="6"/>
        <v/>
      </c>
      <c r="G13" s="21" t="str">
        <f t="shared" si="7"/>
        <v/>
      </c>
      <c r="H13" s="21" t="str">
        <f t="shared" si="8"/>
        <v/>
      </c>
      <c r="I13" s="21" t="str">
        <f t="shared" si="9"/>
        <v/>
      </c>
      <c r="J13" s="22" t="str">
        <f t="shared" si="10"/>
        <v/>
      </c>
      <c r="K13" s="5"/>
      <c r="L13" s="5"/>
      <c r="M13" s="5"/>
      <c r="N13" s="5"/>
      <c r="O13" s="5"/>
      <c r="P13" s="5"/>
      <c r="Q13" s="5"/>
      <c r="R13" s="5"/>
      <c r="S13" s="5"/>
    </row>
    <row r="14">
      <c r="A14" s="18" t="s">
        <v>33</v>
      </c>
      <c r="B14" s="19">
        <f t="shared" si="2"/>
        <v>19</v>
      </c>
      <c r="C14" s="20">
        <f t="shared" si="3"/>
        <v>1</v>
      </c>
      <c r="D14" s="20">
        <f t="shared" si="4"/>
        <v>0</v>
      </c>
      <c r="E14" s="20">
        <f t="shared" si="5"/>
        <v>0</v>
      </c>
      <c r="F14" s="20">
        <f t="shared" si="6"/>
        <v>2</v>
      </c>
      <c r="G14" s="21">
        <f t="shared" si="7"/>
        <v>0.05263157895</v>
      </c>
      <c r="H14" s="21">
        <f t="shared" si="8"/>
        <v>0</v>
      </c>
      <c r="I14" s="21">
        <f t="shared" si="9"/>
        <v>0</v>
      </c>
      <c r="J14" s="22">
        <f t="shared" si="10"/>
        <v>0.1052631579</v>
      </c>
      <c r="K14" s="5"/>
      <c r="L14" s="5"/>
      <c r="M14" s="5"/>
      <c r="N14" s="5"/>
      <c r="O14" s="5"/>
      <c r="P14" s="5"/>
      <c r="Q14" s="5"/>
      <c r="R14" s="5"/>
      <c r="S14" s="5"/>
    </row>
    <row r="15">
      <c r="A15" s="18" t="s">
        <v>34</v>
      </c>
      <c r="B15" s="19">
        <f t="shared" si="2"/>
        <v>24</v>
      </c>
      <c r="C15" s="20">
        <f t="shared" si="3"/>
        <v>0</v>
      </c>
      <c r="D15" s="20">
        <f t="shared" si="4"/>
        <v>2</v>
      </c>
      <c r="E15" s="20">
        <f t="shared" si="5"/>
        <v>2</v>
      </c>
      <c r="F15" s="20">
        <f t="shared" si="6"/>
        <v>0</v>
      </c>
      <c r="G15" s="21">
        <f t="shared" si="7"/>
        <v>0</v>
      </c>
      <c r="H15" s="21">
        <f t="shared" si="8"/>
        <v>0.08333333333</v>
      </c>
      <c r="I15" s="21">
        <f t="shared" si="9"/>
        <v>0.08333333333</v>
      </c>
      <c r="J15" s="22">
        <f t="shared" si="10"/>
        <v>0</v>
      </c>
      <c r="K15" s="5"/>
      <c r="L15" s="5"/>
      <c r="M15" s="5"/>
      <c r="N15" s="5"/>
      <c r="O15" s="5"/>
      <c r="P15" s="5"/>
      <c r="Q15" s="5"/>
      <c r="R15" s="5"/>
      <c r="S15" s="5"/>
    </row>
    <row r="16">
      <c r="A16" s="18" t="s">
        <v>35</v>
      </c>
      <c r="B16" s="19">
        <f t="shared" si="2"/>
        <v>69</v>
      </c>
      <c r="C16" s="20">
        <f t="shared" si="3"/>
        <v>5</v>
      </c>
      <c r="D16" s="20">
        <f t="shared" si="4"/>
        <v>3</v>
      </c>
      <c r="E16" s="20">
        <f t="shared" si="5"/>
        <v>5</v>
      </c>
      <c r="F16" s="20">
        <f t="shared" si="6"/>
        <v>10</v>
      </c>
      <c r="G16" s="21">
        <f t="shared" si="7"/>
        <v>0.07246376812</v>
      </c>
      <c r="H16" s="21">
        <f t="shared" si="8"/>
        <v>0.04347826087</v>
      </c>
      <c r="I16" s="21">
        <f t="shared" si="9"/>
        <v>0.07246376812</v>
      </c>
      <c r="J16" s="22">
        <f t="shared" si="10"/>
        <v>0.1449275362</v>
      </c>
      <c r="K16" s="5"/>
      <c r="L16" s="5"/>
      <c r="M16" s="5"/>
      <c r="N16" s="5"/>
      <c r="O16" s="5"/>
      <c r="P16" s="5"/>
      <c r="Q16" s="5"/>
      <c r="R16" s="5"/>
      <c r="S16" s="5"/>
    </row>
    <row r="17">
      <c r="A17" s="18" t="s">
        <v>36</v>
      </c>
      <c r="B17" s="19">
        <f t="shared" si="2"/>
        <v>32</v>
      </c>
      <c r="C17" s="20">
        <f t="shared" si="3"/>
        <v>1</v>
      </c>
      <c r="D17" s="20">
        <f t="shared" si="4"/>
        <v>0</v>
      </c>
      <c r="E17" s="20">
        <f t="shared" si="5"/>
        <v>1</v>
      </c>
      <c r="F17" s="20">
        <f t="shared" si="6"/>
        <v>8</v>
      </c>
      <c r="G17" s="21">
        <f t="shared" si="7"/>
        <v>0.03125</v>
      </c>
      <c r="H17" s="21">
        <f t="shared" si="8"/>
        <v>0</v>
      </c>
      <c r="I17" s="21">
        <f t="shared" si="9"/>
        <v>0.03125</v>
      </c>
      <c r="J17" s="22">
        <f t="shared" si="10"/>
        <v>0.25</v>
      </c>
      <c r="K17" s="5"/>
      <c r="L17" s="5"/>
      <c r="M17" s="5"/>
      <c r="N17" s="5"/>
      <c r="O17" s="5"/>
      <c r="P17" s="5"/>
      <c r="Q17" s="5"/>
      <c r="R17" s="5"/>
      <c r="S17" s="5"/>
    </row>
    <row r="18">
      <c r="A18" s="18" t="s">
        <v>37</v>
      </c>
      <c r="B18" s="19">
        <f t="shared" si="2"/>
        <v>39</v>
      </c>
      <c r="C18" s="20">
        <f t="shared" si="3"/>
        <v>1</v>
      </c>
      <c r="D18" s="20">
        <f t="shared" si="4"/>
        <v>1</v>
      </c>
      <c r="E18" s="20">
        <f t="shared" si="5"/>
        <v>3</v>
      </c>
      <c r="F18" s="20">
        <f t="shared" si="6"/>
        <v>5</v>
      </c>
      <c r="G18" s="21">
        <f t="shared" si="7"/>
        <v>0.02564102564</v>
      </c>
      <c r="H18" s="21">
        <f t="shared" si="8"/>
        <v>0.02564102564</v>
      </c>
      <c r="I18" s="21">
        <f t="shared" si="9"/>
        <v>0.07692307692</v>
      </c>
      <c r="J18" s="22">
        <f t="shared" si="10"/>
        <v>0.1282051282</v>
      </c>
      <c r="K18" s="5"/>
      <c r="L18" s="5"/>
      <c r="M18" s="5"/>
      <c r="N18" s="5"/>
      <c r="O18" s="5"/>
      <c r="P18" s="5"/>
      <c r="Q18" s="5"/>
      <c r="R18" s="5"/>
      <c r="S18" s="5"/>
    </row>
    <row r="19">
      <c r="A19" s="18" t="s">
        <v>38</v>
      </c>
      <c r="B19" s="19">
        <f t="shared" si="2"/>
        <v>53</v>
      </c>
      <c r="C19" s="20">
        <f t="shared" si="3"/>
        <v>3</v>
      </c>
      <c r="D19" s="20">
        <f t="shared" si="4"/>
        <v>4</v>
      </c>
      <c r="E19" s="20">
        <f t="shared" si="5"/>
        <v>0</v>
      </c>
      <c r="F19" s="20">
        <f t="shared" si="6"/>
        <v>5</v>
      </c>
      <c r="G19" s="21">
        <f t="shared" si="7"/>
        <v>0.05660377358</v>
      </c>
      <c r="H19" s="21">
        <f t="shared" si="8"/>
        <v>0.07547169811</v>
      </c>
      <c r="I19" s="21">
        <f t="shared" si="9"/>
        <v>0</v>
      </c>
      <c r="J19" s="22">
        <f t="shared" si="10"/>
        <v>0.09433962264</v>
      </c>
      <c r="K19" s="5"/>
      <c r="L19" s="5"/>
      <c r="M19" s="5"/>
      <c r="N19" s="5"/>
      <c r="O19" s="5"/>
      <c r="P19" s="5"/>
      <c r="Q19" s="5"/>
      <c r="R19" s="5"/>
      <c r="S19" s="5"/>
    </row>
    <row r="20">
      <c r="A20" s="18" t="s">
        <v>39</v>
      </c>
      <c r="B20" s="19">
        <f t="shared" si="2"/>
        <v>58</v>
      </c>
      <c r="C20" s="20">
        <f t="shared" si="3"/>
        <v>5</v>
      </c>
      <c r="D20" s="20">
        <f t="shared" si="4"/>
        <v>2</v>
      </c>
      <c r="E20" s="20">
        <f t="shared" si="5"/>
        <v>2</v>
      </c>
      <c r="F20" s="20">
        <f t="shared" si="6"/>
        <v>4</v>
      </c>
      <c r="G20" s="21">
        <f t="shared" si="7"/>
        <v>0.08620689655</v>
      </c>
      <c r="H20" s="21">
        <f t="shared" si="8"/>
        <v>0.03448275862</v>
      </c>
      <c r="I20" s="21">
        <f t="shared" si="9"/>
        <v>0.03448275862</v>
      </c>
      <c r="J20" s="22">
        <f t="shared" si="10"/>
        <v>0.06896551724</v>
      </c>
      <c r="K20" s="5"/>
      <c r="L20" s="5"/>
      <c r="M20" s="5"/>
      <c r="N20" s="5"/>
      <c r="O20" s="5"/>
      <c r="P20" s="5"/>
      <c r="Q20" s="5"/>
      <c r="R20" s="5"/>
      <c r="S20" s="5"/>
    </row>
    <row r="21">
      <c r="A21" s="18" t="s">
        <v>40</v>
      </c>
      <c r="B21" s="19">
        <f t="shared" si="2"/>
        <v>59</v>
      </c>
      <c r="C21" s="20">
        <f t="shared" si="3"/>
        <v>3</v>
      </c>
      <c r="D21" s="20">
        <f t="shared" si="4"/>
        <v>2</v>
      </c>
      <c r="E21" s="20">
        <f t="shared" si="5"/>
        <v>7</v>
      </c>
      <c r="F21" s="20">
        <f t="shared" si="6"/>
        <v>11</v>
      </c>
      <c r="G21" s="21">
        <f t="shared" si="7"/>
        <v>0.05084745763</v>
      </c>
      <c r="H21" s="21">
        <f t="shared" si="8"/>
        <v>0.03389830508</v>
      </c>
      <c r="I21" s="21">
        <f t="shared" si="9"/>
        <v>0.1186440678</v>
      </c>
      <c r="J21" s="22">
        <f t="shared" si="10"/>
        <v>0.186440678</v>
      </c>
      <c r="K21" s="5"/>
      <c r="L21" s="5"/>
      <c r="M21" s="5"/>
      <c r="N21" s="5"/>
      <c r="O21" s="5"/>
      <c r="P21" s="5"/>
      <c r="Q21" s="5"/>
      <c r="R21" s="5"/>
      <c r="S21" s="5"/>
    </row>
    <row r="22">
      <c r="A22" s="18" t="s">
        <v>41</v>
      </c>
      <c r="B22" s="19">
        <f t="shared" si="2"/>
        <v>46</v>
      </c>
      <c r="C22" s="20">
        <f t="shared" si="3"/>
        <v>2</v>
      </c>
      <c r="D22" s="20">
        <f t="shared" si="4"/>
        <v>6</v>
      </c>
      <c r="E22" s="20">
        <f t="shared" si="5"/>
        <v>2</v>
      </c>
      <c r="F22" s="20">
        <f t="shared" si="6"/>
        <v>3</v>
      </c>
      <c r="G22" s="21">
        <f t="shared" si="7"/>
        <v>0.04347826087</v>
      </c>
      <c r="H22" s="21">
        <f t="shared" si="8"/>
        <v>0.1304347826</v>
      </c>
      <c r="I22" s="21">
        <f t="shared" si="9"/>
        <v>0.04347826087</v>
      </c>
      <c r="J22" s="22">
        <f t="shared" si="10"/>
        <v>0.0652173913</v>
      </c>
      <c r="K22" s="5"/>
      <c r="L22" s="5"/>
      <c r="M22" s="5"/>
      <c r="N22" s="5"/>
      <c r="O22" s="5"/>
      <c r="P22" s="5"/>
      <c r="Q22" s="5"/>
      <c r="R22" s="5"/>
      <c r="S22" s="5"/>
    </row>
    <row r="23">
      <c r="A23" s="18" t="s">
        <v>42</v>
      </c>
      <c r="B23" s="19">
        <f t="shared" si="2"/>
        <v>39</v>
      </c>
      <c r="C23" s="20">
        <f t="shared" si="3"/>
        <v>0</v>
      </c>
      <c r="D23" s="20">
        <f t="shared" si="4"/>
        <v>3</v>
      </c>
      <c r="E23" s="20">
        <f t="shared" si="5"/>
        <v>0</v>
      </c>
      <c r="F23" s="20">
        <f t="shared" si="6"/>
        <v>2</v>
      </c>
      <c r="G23" s="21">
        <f t="shared" si="7"/>
        <v>0</v>
      </c>
      <c r="H23" s="21">
        <f t="shared" si="8"/>
        <v>0.07692307692</v>
      </c>
      <c r="I23" s="21">
        <f t="shared" si="9"/>
        <v>0</v>
      </c>
      <c r="J23" s="22">
        <f t="shared" si="10"/>
        <v>0.05128205128</v>
      </c>
      <c r="K23" s="5"/>
      <c r="L23" s="5"/>
      <c r="M23" s="5"/>
      <c r="N23" s="5"/>
      <c r="O23" s="5"/>
      <c r="P23" s="5"/>
      <c r="Q23" s="5"/>
      <c r="R23" s="5"/>
      <c r="S23" s="5"/>
    </row>
    <row r="24">
      <c r="A24" s="18" t="s">
        <v>43</v>
      </c>
      <c r="B24" s="19">
        <f t="shared" si="2"/>
        <v>35</v>
      </c>
      <c r="C24" s="20">
        <f t="shared" si="3"/>
        <v>0</v>
      </c>
      <c r="D24" s="20">
        <f t="shared" si="4"/>
        <v>4</v>
      </c>
      <c r="E24" s="20">
        <f t="shared" si="5"/>
        <v>1</v>
      </c>
      <c r="F24" s="20">
        <f t="shared" si="6"/>
        <v>2</v>
      </c>
      <c r="G24" s="21">
        <f t="shared" si="7"/>
        <v>0</v>
      </c>
      <c r="H24" s="21">
        <f t="shared" si="8"/>
        <v>0.1142857143</v>
      </c>
      <c r="I24" s="21">
        <f t="shared" si="9"/>
        <v>0.02857142857</v>
      </c>
      <c r="J24" s="22">
        <f t="shared" si="10"/>
        <v>0.05714285714</v>
      </c>
      <c r="K24" s="5"/>
      <c r="L24" s="5"/>
      <c r="M24" s="5"/>
      <c r="N24" s="5"/>
      <c r="O24" s="5"/>
      <c r="P24" s="5"/>
      <c r="Q24" s="5"/>
      <c r="R24" s="5"/>
      <c r="S24" s="5"/>
    </row>
    <row r="25">
      <c r="A25" s="18" t="s">
        <v>44</v>
      </c>
      <c r="B25" s="19">
        <f t="shared" si="2"/>
        <v>23</v>
      </c>
      <c r="C25" s="20">
        <f t="shared" si="3"/>
        <v>0</v>
      </c>
      <c r="D25" s="20">
        <f t="shared" si="4"/>
        <v>0</v>
      </c>
      <c r="E25" s="20">
        <f t="shared" si="5"/>
        <v>1</v>
      </c>
      <c r="F25" s="20">
        <f t="shared" si="6"/>
        <v>0</v>
      </c>
      <c r="G25" s="21">
        <f t="shared" si="7"/>
        <v>0</v>
      </c>
      <c r="H25" s="21">
        <f t="shared" si="8"/>
        <v>0</v>
      </c>
      <c r="I25" s="21">
        <f t="shared" si="9"/>
        <v>0.04347826087</v>
      </c>
      <c r="J25" s="22">
        <f t="shared" si="10"/>
        <v>0</v>
      </c>
      <c r="K25" s="5"/>
      <c r="L25" s="5"/>
      <c r="M25" s="5"/>
      <c r="N25" s="5"/>
      <c r="O25" s="5"/>
      <c r="P25" s="5"/>
      <c r="Q25" s="5"/>
      <c r="R25" s="5"/>
      <c r="S25" s="5"/>
    </row>
    <row r="26">
      <c r="A26" s="33" t="s">
        <v>45</v>
      </c>
      <c r="B26" s="34">
        <f t="shared" si="2"/>
        <v>7</v>
      </c>
      <c r="C26" s="35">
        <f t="shared" si="3"/>
        <v>0</v>
      </c>
      <c r="D26" s="35">
        <f t="shared" si="4"/>
        <v>0</v>
      </c>
      <c r="E26" s="35">
        <f t="shared" si="5"/>
        <v>0</v>
      </c>
      <c r="F26" s="35">
        <f t="shared" si="6"/>
        <v>0</v>
      </c>
      <c r="G26" s="31">
        <f t="shared" si="7"/>
        <v>0</v>
      </c>
      <c r="H26" s="31">
        <f t="shared" si="8"/>
        <v>0</v>
      </c>
      <c r="I26" s="31">
        <f t="shared" si="9"/>
        <v>0</v>
      </c>
      <c r="J26" s="32">
        <f t="shared" si="10"/>
        <v>0</v>
      </c>
      <c r="K26" s="5"/>
      <c r="L26" s="5"/>
      <c r="M26" s="5"/>
      <c r="N26" s="5"/>
      <c r="O26" s="5"/>
      <c r="P26" s="5"/>
      <c r="Q26" s="5"/>
      <c r="R26" s="5"/>
      <c r="S26" s="5"/>
    </row>
  </sheetData>
  <mergeCells count="2">
    <mergeCell ref="B1:J1"/>
    <mergeCell ref="L1:S1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46</v>
      </c>
      <c r="B1" s="37" t="s">
        <v>2</v>
      </c>
      <c r="C1" s="37" t="s">
        <v>3</v>
      </c>
      <c r="D1" s="37" t="s">
        <v>4</v>
      </c>
      <c r="E1" s="37" t="s">
        <v>5</v>
      </c>
      <c r="F1" s="38" t="s">
        <v>47</v>
      </c>
    </row>
    <row r="2">
      <c r="A2" s="39" t="s">
        <v>18</v>
      </c>
      <c r="B2" s="40">
        <v>9.0</v>
      </c>
      <c r="C2" s="40">
        <v>2.0</v>
      </c>
      <c r="D2" s="40">
        <v>0.0</v>
      </c>
      <c r="E2" s="40">
        <v>3.0</v>
      </c>
      <c r="F2" s="41">
        <v>3.0</v>
      </c>
    </row>
    <row r="3">
      <c r="A3" s="42" t="s">
        <v>20</v>
      </c>
      <c r="B3" s="43">
        <v>8.0</v>
      </c>
      <c r="C3" s="43">
        <v>1.0</v>
      </c>
      <c r="D3" s="43">
        <v>0.0</v>
      </c>
      <c r="E3" s="43">
        <v>0.0</v>
      </c>
      <c r="F3" s="44">
        <v>3.0</v>
      </c>
    </row>
    <row r="4">
      <c r="A4" s="42" t="s">
        <v>22</v>
      </c>
      <c r="B4" s="43"/>
      <c r="C4" s="43"/>
      <c r="D4" s="43"/>
      <c r="E4" s="43"/>
      <c r="F4" s="44"/>
    </row>
    <row r="5">
      <c r="A5" s="42" t="s">
        <v>24</v>
      </c>
      <c r="B5" s="43">
        <v>8.0</v>
      </c>
      <c r="C5" s="43">
        <v>1.0</v>
      </c>
      <c r="D5" s="43">
        <v>1.0</v>
      </c>
      <c r="E5" s="43">
        <v>0.0</v>
      </c>
      <c r="F5" s="44">
        <v>1.0</v>
      </c>
    </row>
    <row r="6">
      <c r="A6" s="42" t="s">
        <v>25</v>
      </c>
      <c r="B6" s="43">
        <v>8.0</v>
      </c>
      <c r="C6" s="43">
        <v>0.0</v>
      </c>
      <c r="D6" s="43">
        <v>0.0</v>
      </c>
      <c r="E6" s="43">
        <v>0.0</v>
      </c>
      <c r="F6" s="44">
        <v>1.0</v>
      </c>
    </row>
    <row r="7">
      <c r="A7" s="42" t="s">
        <v>26</v>
      </c>
      <c r="B7" s="43"/>
      <c r="C7" s="43"/>
      <c r="D7" s="43"/>
      <c r="E7" s="43"/>
      <c r="F7" s="44"/>
    </row>
    <row r="8">
      <c r="A8" s="42" t="s">
        <v>28</v>
      </c>
      <c r="B8" s="43">
        <v>7.0</v>
      </c>
      <c r="C8" s="43">
        <v>1.0</v>
      </c>
      <c r="D8" s="43">
        <v>1.0</v>
      </c>
      <c r="E8" s="43">
        <v>0.0</v>
      </c>
      <c r="F8" s="44">
        <v>4.0</v>
      </c>
    </row>
    <row r="9">
      <c r="A9" s="42" t="s">
        <v>29</v>
      </c>
      <c r="B9" s="43">
        <v>3.0</v>
      </c>
      <c r="C9" s="43">
        <v>0.0</v>
      </c>
      <c r="D9" s="43">
        <v>2.0</v>
      </c>
      <c r="E9" s="43">
        <v>0.0</v>
      </c>
      <c r="F9" s="44">
        <v>0.0</v>
      </c>
    </row>
    <row r="10">
      <c r="A10" s="42" t="s">
        <v>30</v>
      </c>
      <c r="B10" s="43">
        <v>6.0</v>
      </c>
      <c r="C10" s="43">
        <v>0.0</v>
      </c>
      <c r="D10" s="43">
        <v>0.0</v>
      </c>
      <c r="E10" s="43">
        <v>0.0</v>
      </c>
      <c r="F10" s="44">
        <v>0.0</v>
      </c>
    </row>
    <row r="11">
      <c r="A11" s="42" t="s">
        <v>31</v>
      </c>
      <c r="B11" s="43"/>
      <c r="C11" s="43"/>
      <c r="D11" s="43"/>
      <c r="E11" s="43"/>
      <c r="F11" s="44"/>
    </row>
    <row r="12">
      <c r="A12" s="42" t="s">
        <v>32</v>
      </c>
      <c r="B12" s="43"/>
      <c r="C12" s="43"/>
      <c r="D12" s="43"/>
      <c r="E12" s="43"/>
      <c r="F12" s="44"/>
    </row>
    <row r="13">
      <c r="A13" s="42" t="s">
        <v>33</v>
      </c>
      <c r="B13" s="43">
        <v>2.0</v>
      </c>
      <c r="C13" s="43">
        <v>0.0</v>
      </c>
      <c r="D13" s="43">
        <v>0.0</v>
      </c>
      <c r="E13" s="43">
        <v>0.0</v>
      </c>
      <c r="F13" s="44">
        <v>0.0</v>
      </c>
    </row>
    <row r="14">
      <c r="A14" s="42" t="s">
        <v>34</v>
      </c>
      <c r="B14" s="43">
        <v>7.0</v>
      </c>
      <c r="C14" s="43">
        <v>0.0</v>
      </c>
      <c r="D14" s="43">
        <v>1.0</v>
      </c>
      <c r="E14" s="43">
        <v>1.0</v>
      </c>
      <c r="F14" s="44">
        <v>0.0</v>
      </c>
    </row>
    <row r="15">
      <c r="A15" s="42" t="s">
        <v>35</v>
      </c>
      <c r="B15" s="43">
        <v>9.0</v>
      </c>
      <c r="C15" s="43">
        <v>1.0</v>
      </c>
      <c r="D15" s="43">
        <v>0.0</v>
      </c>
      <c r="E15" s="43">
        <v>0.0</v>
      </c>
      <c r="F15" s="44">
        <v>2.0</v>
      </c>
    </row>
    <row r="16">
      <c r="A16" s="42" t="s">
        <v>36</v>
      </c>
      <c r="B16" s="43">
        <v>8.0</v>
      </c>
      <c r="C16" s="43">
        <v>0.0</v>
      </c>
      <c r="D16" s="43">
        <v>0.0</v>
      </c>
      <c r="E16" s="43">
        <v>0.0</v>
      </c>
      <c r="F16" s="44">
        <v>2.0</v>
      </c>
    </row>
    <row r="17">
      <c r="A17" s="42" t="s">
        <v>37</v>
      </c>
      <c r="B17" s="43">
        <v>5.0</v>
      </c>
      <c r="C17" s="43">
        <v>0.0</v>
      </c>
      <c r="D17" s="43">
        <v>0.0</v>
      </c>
      <c r="E17" s="43">
        <v>0.0</v>
      </c>
      <c r="F17" s="44">
        <v>0.0</v>
      </c>
    </row>
    <row r="18">
      <c r="A18" s="42" t="s">
        <v>38</v>
      </c>
      <c r="B18" s="43">
        <v>6.0</v>
      </c>
      <c r="C18" s="43">
        <v>0.0</v>
      </c>
      <c r="D18" s="43">
        <v>1.0</v>
      </c>
      <c r="E18" s="43">
        <v>0.0</v>
      </c>
      <c r="F18" s="44">
        <v>0.0</v>
      </c>
    </row>
    <row r="19">
      <c r="A19" s="42" t="s">
        <v>39</v>
      </c>
      <c r="B19" s="43">
        <v>7.0</v>
      </c>
      <c r="C19" s="43">
        <v>1.0</v>
      </c>
      <c r="D19" s="43">
        <v>0.0</v>
      </c>
      <c r="E19" s="43">
        <v>0.0</v>
      </c>
      <c r="F19" s="44">
        <v>0.0</v>
      </c>
    </row>
    <row r="20">
      <c r="A20" s="42" t="s">
        <v>40</v>
      </c>
      <c r="B20" s="43">
        <v>7.0</v>
      </c>
      <c r="C20" s="43">
        <v>0.0</v>
      </c>
      <c r="D20" s="43">
        <v>0.0</v>
      </c>
      <c r="E20" s="43">
        <v>0.0</v>
      </c>
      <c r="F20" s="44">
        <v>1.0</v>
      </c>
    </row>
    <row r="21">
      <c r="A21" s="42" t="s">
        <v>41</v>
      </c>
      <c r="B21" s="43">
        <v>5.0</v>
      </c>
      <c r="C21" s="43">
        <v>1.0</v>
      </c>
      <c r="D21" s="43">
        <v>0.0</v>
      </c>
      <c r="E21" s="43">
        <v>0.0</v>
      </c>
      <c r="F21" s="44">
        <v>0.0</v>
      </c>
    </row>
    <row r="22">
      <c r="A22" s="42" t="s">
        <v>42</v>
      </c>
      <c r="B22" s="43">
        <v>5.0</v>
      </c>
      <c r="C22" s="43">
        <v>0.0</v>
      </c>
      <c r="D22" s="43">
        <v>1.0</v>
      </c>
      <c r="E22" s="43">
        <v>0.0</v>
      </c>
      <c r="F22" s="44">
        <v>0.0</v>
      </c>
    </row>
    <row r="23">
      <c r="A23" s="42" t="s">
        <v>43</v>
      </c>
      <c r="B23" s="43">
        <v>4.0</v>
      </c>
      <c r="C23" s="43">
        <v>0.0</v>
      </c>
      <c r="D23" s="43">
        <v>1.0</v>
      </c>
      <c r="E23" s="43">
        <v>0.0</v>
      </c>
      <c r="F23" s="44">
        <v>0.0</v>
      </c>
    </row>
    <row r="24">
      <c r="A24" s="42" t="s">
        <v>44</v>
      </c>
      <c r="B24" s="43">
        <v>3.0</v>
      </c>
      <c r="C24" s="43">
        <v>0.0</v>
      </c>
      <c r="D24" s="43">
        <v>0.0</v>
      </c>
      <c r="E24" s="43">
        <v>1.0</v>
      </c>
      <c r="F24" s="44">
        <v>0.0</v>
      </c>
    </row>
    <row r="25">
      <c r="A25" s="45" t="s">
        <v>45</v>
      </c>
      <c r="B25" s="46">
        <v>2.0</v>
      </c>
      <c r="C25" s="46">
        <v>0.0</v>
      </c>
      <c r="D25" s="46">
        <v>0.0</v>
      </c>
      <c r="E25" s="46">
        <v>0.0</v>
      </c>
      <c r="F25" s="47">
        <v>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46</v>
      </c>
      <c r="B1" s="37" t="s">
        <v>2</v>
      </c>
      <c r="C1" s="37" t="s">
        <v>3</v>
      </c>
      <c r="D1" s="37" t="s">
        <v>4</v>
      </c>
      <c r="E1" s="37" t="s">
        <v>5</v>
      </c>
      <c r="F1" s="38" t="s">
        <v>47</v>
      </c>
    </row>
    <row r="2">
      <c r="A2" s="39" t="s">
        <v>18</v>
      </c>
      <c r="B2" s="40">
        <v>9.0</v>
      </c>
      <c r="C2" s="40">
        <v>3.0</v>
      </c>
      <c r="D2" s="40">
        <v>1.0</v>
      </c>
      <c r="E2" s="40">
        <v>2.0</v>
      </c>
      <c r="F2" s="41">
        <v>1.0</v>
      </c>
    </row>
    <row r="3">
      <c r="A3" s="42" t="s">
        <v>20</v>
      </c>
      <c r="B3" s="43">
        <v>9.0</v>
      </c>
      <c r="C3" s="43">
        <v>0.0</v>
      </c>
      <c r="D3" s="43">
        <v>0.0</v>
      </c>
      <c r="E3" s="43">
        <v>0.0</v>
      </c>
      <c r="F3" s="44">
        <v>2.0</v>
      </c>
    </row>
    <row r="4">
      <c r="A4" s="42" t="s">
        <v>22</v>
      </c>
      <c r="B4" s="43"/>
      <c r="C4" s="43"/>
      <c r="D4" s="43"/>
      <c r="E4" s="43"/>
      <c r="F4" s="44"/>
    </row>
    <row r="5">
      <c r="A5" s="42" t="s">
        <v>24</v>
      </c>
      <c r="B5" s="43">
        <v>9.0</v>
      </c>
      <c r="C5" s="43">
        <v>1.0</v>
      </c>
      <c r="D5" s="43">
        <v>0.0</v>
      </c>
      <c r="E5" s="43">
        <v>2.0</v>
      </c>
      <c r="F5" s="44">
        <v>1.0</v>
      </c>
    </row>
    <row r="6">
      <c r="A6" s="42" t="s">
        <v>25</v>
      </c>
      <c r="B6" s="43">
        <v>9.0</v>
      </c>
      <c r="C6" s="43">
        <v>0.0</v>
      </c>
      <c r="D6" s="43">
        <v>0.0</v>
      </c>
      <c r="E6" s="43">
        <v>1.0</v>
      </c>
      <c r="F6" s="44">
        <v>2.0</v>
      </c>
    </row>
    <row r="7">
      <c r="A7" s="42" t="s">
        <v>26</v>
      </c>
      <c r="B7" s="43"/>
      <c r="C7" s="43"/>
      <c r="D7" s="43"/>
      <c r="E7" s="43"/>
      <c r="F7" s="44"/>
    </row>
    <row r="8">
      <c r="A8" s="42" t="s">
        <v>28</v>
      </c>
      <c r="B8" s="43">
        <v>7.0</v>
      </c>
      <c r="C8" s="43">
        <v>3.0</v>
      </c>
      <c r="D8" s="43">
        <v>1.0</v>
      </c>
      <c r="E8" s="43">
        <v>0.0</v>
      </c>
      <c r="F8" s="44">
        <v>0.0</v>
      </c>
    </row>
    <row r="9">
      <c r="A9" s="42" t="s">
        <v>29</v>
      </c>
      <c r="B9" s="43">
        <v>6.0</v>
      </c>
      <c r="C9" s="43">
        <v>0.0</v>
      </c>
      <c r="D9" s="43">
        <v>1.0</v>
      </c>
      <c r="E9" s="43">
        <v>0.0</v>
      </c>
      <c r="F9" s="44">
        <v>0.0</v>
      </c>
    </row>
    <row r="10">
      <c r="A10" s="42" t="s">
        <v>30</v>
      </c>
      <c r="B10" s="43">
        <v>7.0</v>
      </c>
      <c r="C10" s="43">
        <v>1.0</v>
      </c>
      <c r="D10" s="43">
        <v>2.0</v>
      </c>
      <c r="E10" s="43">
        <v>0.0</v>
      </c>
      <c r="F10" s="44">
        <v>0.0</v>
      </c>
    </row>
    <row r="11">
      <c r="A11" s="42" t="s">
        <v>31</v>
      </c>
      <c r="B11" s="43"/>
      <c r="C11" s="43"/>
      <c r="D11" s="43"/>
      <c r="E11" s="43"/>
      <c r="F11" s="44"/>
    </row>
    <row r="12">
      <c r="A12" s="42" t="s">
        <v>32</v>
      </c>
      <c r="B12" s="43"/>
      <c r="C12" s="43"/>
      <c r="D12" s="43"/>
      <c r="E12" s="43"/>
      <c r="F12" s="44"/>
    </row>
    <row r="13">
      <c r="A13" s="42" t="s">
        <v>33</v>
      </c>
      <c r="B13" s="43">
        <v>4.0</v>
      </c>
      <c r="C13" s="43">
        <v>0.0</v>
      </c>
      <c r="D13" s="43">
        <v>0.0</v>
      </c>
      <c r="E13" s="43">
        <v>0.0</v>
      </c>
      <c r="F13" s="44">
        <v>2.0</v>
      </c>
    </row>
    <row r="14">
      <c r="A14" s="42" t="s">
        <v>34</v>
      </c>
      <c r="B14" s="43">
        <v>9.0</v>
      </c>
      <c r="C14" s="43">
        <v>0.0</v>
      </c>
      <c r="D14" s="43">
        <v>1.0</v>
      </c>
      <c r="E14" s="43">
        <v>1.0</v>
      </c>
      <c r="F14" s="44">
        <v>0.0</v>
      </c>
    </row>
    <row r="15">
      <c r="A15" s="42" t="s">
        <v>35</v>
      </c>
      <c r="B15" s="43">
        <v>10.0</v>
      </c>
      <c r="C15" s="43">
        <v>0.0</v>
      </c>
      <c r="D15" s="43">
        <v>0.0</v>
      </c>
      <c r="E15" s="43">
        <v>1.0</v>
      </c>
      <c r="F15" s="44">
        <v>0.0</v>
      </c>
    </row>
    <row r="16">
      <c r="A16" s="42" t="s">
        <v>36</v>
      </c>
      <c r="B16" s="43">
        <v>4.0</v>
      </c>
      <c r="C16" s="43">
        <v>0.0</v>
      </c>
      <c r="D16" s="43">
        <v>0.0</v>
      </c>
      <c r="E16" s="43">
        <v>1.0</v>
      </c>
      <c r="F16" s="44">
        <v>1.0</v>
      </c>
    </row>
    <row r="17">
      <c r="A17" s="42" t="s">
        <v>37</v>
      </c>
      <c r="B17" s="43">
        <v>10.0</v>
      </c>
      <c r="C17" s="43">
        <v>0.0</v>
      </c>
      <c r="D17" s="43">
        <v>1.0</v>
      </c>
      <c r="E17" s="43">
        <v>0.0</v>
      </c>
      <c r="F17" s="44">
        <v>2.0</v>
      </c>
    </row>
    <row r="18">
      <c r="A18" s="42" t="s">
        <v>38</v>
      </c>
      <c r="B18" s="43">
        <v>8.0</v>
      </c>
      <c r="C18" s="43">
        <v>2.0</v>
      </c>
      <c r="D18" s="43">
        <v>1.0</v>
      </c>
      <c r="E18" s="43">
        <v>0.0</v>
      </c>
      <c r="F18" s="44">
        <v>1.0</v>
      </c>
    </row>
    <row r="19">
      <c r="A19" s="42" t="s">
        <v>39</v>
      </c>
      <c r="B19" s="43">
        <v>8.0</v>
      </c>
      <c r="C19" s="43">
        <v>2.0</v>
      </c>
      <c r="D19" s="43">
        <v>1.0</v>
      </c>
      <c r="E19" s="43">
        <v>0.0</v>
      </c>
      <c r="F19" s="44">
        <v>1.0</v>
      </c>
    </row>
    <row r="20">
      <c r="A20" s="42" t="s">
        <v>40</v>
      </c>
      <c r="B20" s="43">
        <v>6.0</v>
      </c>
      <c r="C20" s="43">
        <v>1.0</v>
      </c>
      <c r="D20" s="43">
        <v>0.0</v>
      </c>
      <c r="E20" s="43">
        <v>2.0</v>
      </c>
      <c r="F20" s="44">
        <v>1.0</v>
      </c>
    </row>
    <row r="21">
      <c r="A21" s="42" t="s">
        <v>41</v>
      </c>
      <c r="B21" s="43">
        <v>7.0</v>
      </c>
      <c r="C21" s="43">
        <v>0.0</v>
      </c>
      <c r="D21" s="43">
        <v>1.0</v>
      </c>
      <c r="E21" s="43">
        <v>0.0</v>
      </c>
      <c r="F21" s="44">
        <v>1.0</v>
      </c>
    </row>
    <row r="22">
      <c r="A22" s="42" t="s">
        <v>42</v>
      </c>
      <c r="B22" s="43">
        <v>6.0</v>
      </c>
      <c r="C22" s="43">
        <v>0.0</v>
      </c>
      <c r="D22" s="43">
        <v>2.0</v>
      </c>
      <c r="E22" s="43">
        <v>0.0</v>
      </c>
      <c r="F22" s="44">
        <v>0.0</v>
      </c>
    </row>
    <row r="23">
      <c r="A23" s="42" t="s">
        <v>43</v>
      </c>
      <c r="B23" s="43">
        <v>5.0</v>
      </c>
      <c r="C23" s="43">
        <v>0.0</v>
      </c>
      <c r="D23" s="43">
        <v>1.0</v>
      </c>
      <c r="E23" s="43">
        <v>0.0</v>
      </c>
      <c r="F23" s="44">
        <v>1.0</v>
      </c>
    </row>
    <row r="24">
      <c r="A24" s="42" t="s">
        <v>44</v>
      </c>
      <c r="B24" s="43">
        <v>4.0</v>
      </c>
      <c r="C24" s="43">
        <v>0.0</v>
      </c>
      <c r="D24" s="43">
        <v>0.0</v>
      </c>
      <c r="E24" s="43">
        <v>0.0</v>
      </c>
      <c r="F24" s="44">
        <v>0.0</v>
      </c>
    </row>
    <row r="25">
      <c r="A25" s="45" t="s">
        <v>45</v>
      </c>
      <c r="B25" s="46">
        <v>2.0</v>
      </c>
      <c r="C25" s="46">
        <v>0.0</v>
      </c>
      <c r="D25" s="46">
        <v>0.0</v>
      </c>
      <c r="E25" s="46">
        <v>0.0</v>
      </c>
      <c r="F25" s="47">
        <v>0.0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46</v>
      </c>
      <c r="B1" s="37" t="s">
        <v>2</v>
      </c>
      <c r="C1" s="37" t="s">
        <v>3</v>
      </c>
      <c r="D1" s="37" t="s">
        <v>4</v>
      </c>
      <c r="E1" s="37" t="s">
        <v>5</v>
      </c>
      <c r="F1" s="38" t="s">
        <v>47</v>
      </c>
    </row>
    <row r="2">
      <c r="A2" s="39" t="s">
        <v>18</v>
      </c>
      <c r="B2" s="40"/>
      <c r="C2" s="40"/>
      <c r="D2" s="40"/>
      <c r="E2" s="40"/>
      <c r="F2" s="41"/>
    </row>
    <row r="3">
      <c r="A3" s="42" t="s">
        <v>20</v>
      </c>
      <c r="B3" s="43">
        <v>10.0</v>
      </c>
      <c r="C3" s="43">
        <v>0.0</v>
      </c>
      <c r="D3" s="43">
        <v>1.0</v>
      </c>
      <c r="E3" s="43">
        <v>1.0</v>
      </c>
      <c r="F3" s="44">
        <v>2.0</v>
      </c>
    </row>
    <row r="4">
      <c r="A4" s="42" t="s">
        <v>22</v>
      </c>
      <c r="B4" s="43"/>
      <c r="C4" s="43"/>
      <c r="D4" s="43"/>
      <c r="E4" s="43"/>
      <c r="F4" s="44"/>
    </row>
    <row r="5">
      <c r="A5" s="42" t="s">
        <v>24</v>
      </c>
      <c r="B5" s="43">
        <v>14.0</v>
      </c>
      <c r="C5" s="43">
        <v>1.0</v>
      </c>
      <c r="D5" s="43">
        <v>2.0</v>
      </c>
      <c r="E5" s="43">
        <v>1.0</v>
      </c>
      <c r="F5" s="44">
        <v>0.0</v>
      </c>
    </row>
    <row r="6">
      <c r="A6" s="42" t="s">
        <v>25</v>
      </c>
      <c r="B6" s="43">
        <v>14.0</v>
      </c>
      <c r="C6" s="43">
        <v>0.0</v>
      </c>
      <c r="D6" s="43">
        <v>0.0</v>
      </c>
      <c r="E6" s="43">
        <v>0.0</v>
      </c>
      <c r="F6" s="44">
        <v>0.0</v>
      </c>
    </row>
    <row r="7">
      <c r="A7" s="42" t="s">
        <v>26</v>
      </c>
      <c r="B7" s="43"/>
      <c r="C7" s="43"/>
      <c r="D7" s="43"/>
      <c r="E7" s="43"/>
      <c r="F7" s="44"/>
    </row>
    <row r="8">
      <c r="A8" s="42" t="s">
        <v>28</v>
      </c>
      <c r="B8" s="43">
        <v>8.0</v>
      </c>
      <c r="C8" s="43">
        <v>2.0</v>
      </c>
      <c r="D8" s="43">
        <v>0.0</v>
      </c>
      <c r="E8" s="43">
        <v>1.0</v>
      </c>
      <c r="F8" s="44">
        <v>2.0</v>
      </c>
    </row>
    <row r="9">
      <c r="A9" s="42" t="s">
        <v>29</v>
      </c>
      <c r="B9" s="43">
        <v>9.0</v>
      </c>
      <c r="C9" s="43">
        <v>1.0</v>
      </c>
      <c r="D9" s="43">
        <v>0.0</v>
      </c>
      <c r="E9" s="43">
        <v>0.0</v>
      </c>
      <c r="F9" s="44">
        <v>3.0</v>
      </c>
    </row>
    <row r="10">
      <c r="A10" s="42" t="s">
        <v>30</v>
      </c>
      <c r="B10" s="43">
        <v>11.0</v>
      </c>
      <c r="C10" s="43">
        <v>1.0</v>
      </c>
      <c r="D10" s="43">
        <v>0.0</v>
      </c>
      <c r="E10" s="43">
        <v>1.0</v>
      </c>
      <c r="F10" s="44">
        <v>4.0</v>
      </c>
    </row>
    <row r="11">
      <c r="A11" s="42" t="s">
        <v>31</v>
      </c>
      <c r="B11" s="43"/>
      <c r="C11" s="43"/>
      <c r="D11" s="43"/>
      <c r="E11" s="43"/>
      <c r="F11" s="44"/>
    </row>
    <row r="12">
      <c r="A12" s="42" t="s">
        <v>32</v>
      </c>
      <c r="B12" s="43"/>
      <c r="C12" s="43"/>
      <c r="D12" s="43"/>
      <c r="E12" s="43"/>
      <c r="F12" s="44"/>
    </row>
    <row r="13">
      <c r="A13" s="42" t="s">
        <v>33</v>
      </c>
      <c r="B13" s="43">
        <v>1.0</v>
      </c>
      <c r="C13" s="43">
        <v>0.0</v>
      </c>
      <c r="D13" s="43">
        <v>0.0</v>
      </c>
      <c r="E13" s="43">
        <v>0.0</v>
      </c>
      <c r="F13" s="44">
        <v>0.0</v>
      </c>
    </row>
    <row r="14">
      <c r="A14" s="42" t="s">
        <v>34</v>
      </c>
      <c r="B14" s="43">
        <v>8.0</v>
      </c>
      <c r="C14" s="43">
        <v>0.0</v>
      </c>
      <c r="D14" s="43">
        <v>0.0</v>
      </c>
      <c r="E14" s="43">
        <v>0.0</v>
      </c>
      <c r="F14" s="44">
        <v>0.0</v>
      </c>
    </row>
    <row r="15">
      <c r="A15" s="42" t="s">
        <v>35</v>
      </c>
      <c r="B15" s="43">
        <v>13.0</v>
      </c>
      <c r="C15" s="43">
        <v>2.0</v>
      </c>
      <c r="D15" s="43">
        <v>0.0</v>
      </c>
      <c r="E15" s="43">
        <v>0.0</v>
      </c>
      <c r="F15" s="44">
        <v>2.0</v>
      </c>
    </row>
    <row r="16">
      <c r="A16" s="42" t="s">
        <v>36</v>
      </c>
      <c r="B16" s="43"/>
      <c r="C16" s="43"/>
      <c r="D16" s="43"/>
      <c r="E16" s="43"/>
      <c r="F16" s="44"/>
    </row>
    <row r="17">
      <c r="A17" s="42" t="s">
        <v>37</v>
      </c>
      <c r="B17" s="43">
        <v>5.0</v>
      </c>
      <c r="C17" s="43">
        <v>0.0</v>
      </c>
      <c r="D17" s="43">
        <v>0.0</v>
      </c>
      <c r="E17" s="43">
        <v>0.0</v>
      </c>
      <c r="F17" s="44">
        <v>0.0</v>
      </c>
    </row>
    <row r="18">
      <c r="A18" s="42" t="s">
        <v>38</v>
      </c>
      <c r="B18" s="43">
        <v>11.0</v>
      </c>
      <c r="C18" s="43">
        <v>1.0</v>
      </c>
      <c r="D18" s="43">
        <v>1.0</v>
      </c>
      <c r="E18" s="43">
        <v>0.0</v>
      </c>
      <c r="F18" s="44">
        <v>0.0</v>
      </c>
    </row>
    <row r="19">
      <c r="A19" s="42" t="s">
        <v>39</v>
      </c>
      <c r="B19" s="43">
        <v>11.0</v>
      </c>
      <c r="C19" s="43">
        <v>1.0</v>
      </c>
      <c r="D19" s="43">
        <v>1.0</v>
      </c>
      <c r="E19" s="43">
        <v>0.0</v>
      </c>
      <c r="F19" s="44">
        <v>1.0</v>
      </c>
    </row>
    <row r="20">
      <c r="A20" s="42" t="s">
        <v>40</v>
      </c>
      <c r="B20" s="43">
        <v>13.0</v>
      </c>
      <c r="C20" s="43">
        <v>0.0</v>
      </c>
      <c r="D20" s="43">
        <v>2.0</v>
      </c>
      <c r="E20" s="43">
        <v>1.0</v>
      </c>
      <c r="F20" s="44">
        <v>2.0</v>
      </c>
    </row>
    <row r="21">
      <c r="A21" s="42" t="s">
        <v>41</v>
      </c>
      <c r="B21" s="43">
        <v>9.0</v>
      </c>
      <c r="C21" s="43">
        <v>0.0</v>
      </c>
      <c r="D21" s="43">
        <v>1.0</v>
      </c>
      <c r="E21" s="43">
        <v>1.0</v>
      </c>
      <c r="F21" s="44">
        <v>1.0</v>
      </c>
    </row>
    <row r="22">
      <c r="A22" s="42" t="s">
        <v>42</v>
      </c>
      <c r="B22" s="43">
        <v>8.0</v>
      </c>
      <c r="C22" s="43">
        <v>0.0</v>
      </c>
      <c r="D22" s="43">
        <v>0.0</v>
      </c>
      <c r="E22" s="43">
        <v>0.0</v>
      </c>
      <c r="F22" s="44">
        <v>0.0</v>
      </c>
    </row>
    <row r="23">
      <c r="A23" s="42" t="s">
        <v>43</v>
      </c>
      <c r="B23" s="43">
        <v>6.0</v>
      </c>
      <c r="C23" s="43">
        <v>0.0</v>
      </c>
      <c r="D23" s="43">
        <v>1.0</v>
      </c>
      <c r="E23" s="43">
        <v>1.0</v>
      </c>
      <c r="F23" s="44">
        <v>0.0</v>
      </c>
    </row>
    <row r="24">
      <c r="A24" s="42" t="s">
        <v>44</v>
      </c>
      <c r="B24" s="43">
        <v>3.0</v>
      </c>
      <c r="C24" s="43">
        <v>0.0</v>
      </c>
      <c r="D24" s="43">
        <v>0.0</v>
      </c>
      <c r="E24" s="43">
        <v>0.0</v>
      </c>
      <c r="F24" s="44">
        <v>0.0</v>
      </c>
    </row>
    <row r="25">
      <c r="A25" s="45" t="s">
        <v>45</v>
      </c>
      <c r="B25" s="46"/>
      <c r="C25" s="46"/>
      <c r="D25" s="46"/>
      <c r="E25" s="46"/>
      <c r="F25" s="47"/>
    </row>
    <row r="26">
      <c r="A26" s="48"/>
      <c r="B26" s="48"/>
      <c r="C26" s="48"/>
      <c r="D26" s="48"/>
      <c r="E26" s="48"/>
      <c r="F26" s="4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46</v>
      </c>
      <c r="B1" s="37" t="s">
        <v>2</v>
      </c>
      <c r="C1" s="37" t="s">
        <v>3</v>
      </c>
      <c r="D1" s="37" t="s">
        <v>4</v>
      </c>
      <c r="E1" s="37" t="s">
        <v>5</v>
      </c>
      <c r="F1" s="38" t="s">
        <v>47</v>
      </c>
    </row>
    <row r="2">
      <c r="A2" s="39" t="s">
        <v>18</v>
      </c>
      <c r="B2" s="40">
        <v>11.0</v>
      </c>
      <c r="C2" s="40">
        <v>3.0</v>
      </c>
      <c r="D2" s="40">
        <v>0.0</v>
      </c>
      <c r="E2" s="40">
        <v>1.0</v>
      </c>
      <c r="F2" s="41">
        <v>1.0</v>
      </c>
    </row>
    <row r="3">
      <c r="A3" s="42" t="s">
        <v>20</v>
      </c>
      <c r="B3" s="43">
        <v>10.0</v>
      </c>
      <c r="C3" s="43">
        <v>2.0</v>
      </c>
      <c r="D3" s="43">
        <v>1.0</v>
      </c>
      <c r="E3" s="43">
        <v>0.0</v>
      </c>
      <c r="F3" s="44">
        <v>1.0</v>
      </c>
    </row>
    <row r="4">
      <c r="A4" s="42" t="s">
        <v>22</v>
      </c>
      <c r="B4" s="43"/>
      <c r="C4" s="43"/>
      <c r="D4" s="43"/>
      <c r="E4" s="43"/>
      <c r="F4" s="44"/>
    </row>
    <row r="5">
      <c r="A5" s="42" t="s">
        <v>24</v>
      </c>
      <c r="B5" s="43">
        <v>13.0</v>
      </c>
      <c r="C5" s="43">
        <v>0.0</v>
      </c>
      <c r="D5" s="43">
        <v>2.0</v>
      </c>
      <c r="E5" s="43">
        <v>0.0</v>
      </c>
      <c r="F5" s="44">
        <v>0.0</v>
      </c>
    </row>
    <row r="6">
      <c r="A6" s="42" t="s">
        <v>25</v>
      </c>
      <c r="B6" s="43">
        <v>10.0</v>
      </c>
      <c r="C6" s="43">
        <v>1.0</v>
      </c>
      <c r="D6" s="43">
        <v>0.0</v>
      </c>
      <c r="E6" s="43">
        <v>0.0</v>
      </c>
      <c r="F6" s="44">
        <v>0.0</v>
      </c>
    </row>
    <row r="7">
      <c r="A7" s="42" t="s">
        <v>26</v>
      </c>
      <c r="B7" s="43">
        <v>9.0</v>
      </c>
      <c r="C7" s="43">
        <v>0.0</v>
      </c>
      <c r="D7" s="43">
        <v>2.0</v>
      </c>
      <c r="E7" s="43">
        <v>1.0</v>
      </c>
      <c r="F7" s="44">
        <v>0.0</v>
      </c>
    </row>
    <row r="8">
      <c r="A8" s="42" t="s">
        <v>28</v>
      </c>
      <c r="B8" s="43">
        <v>6.0</v>
      </c>
      <c r="C8" s="43">
        <v>0.0</v>
      </c>
      <c r="D8" s="43">
        <v>0.0</v>
      </c>
      <c r="E8" s="43">
        <v>0.0</v>
      </c>
      <c r="F8" s="44">
        <v>1.0</v>
      </c>
    </row>
    <row r="9">
      <c r="A9" s="42" t="s">
        <v>29</v>
      </c>
      <c r="B9" s="43">
        <v>6.0</v>
      </c>
      <c r="C9" s="43">
        <v>0.0</v>
      </c>
      <c r="D9" s="43">
        <v>0.0</v>
      </c>
      <c r="E9" s="43">
        <v>0.0</v>
      </c>
      <c r="F9" s="44">
        <v>3.0</v>
      </c>
    </row>
    <row r="10">
      <c r="A10" s="42" t="s">
        <v>30</v>
      </c>
      <c r="B10" s="43">
        <v>11.0</v>
      </c>
      <c r="C10" s="43">
        <v>2.0</v>
      </c>
      <c r="D10" s="43">
        <v>1.0</v>
      </c>
      <c r="E10" s="43">
        <v>0.0</v>
      </c>
      <c r="F10" s="44">
        <v>0.0</v>
      </c>
    </row>
    <row r="11">
      <c r="A11" s="42" t="s">
        <v>31</v>
      </c>
      <c r="B11" s="43">
        <v>5.0</v>
      </c>
      <c r="C11" s="43">
        <v>0.0</v>
      </c>
      <c r="D11" s="43">
        <v>2.0</v>
      </c>
      <c r="E11" s="43">
        <v>0.0</v>
      </c>
      <c r="F11" s="44">
        <v>2.0</v>
      </c>
    </row>
    <row r="12">
      <c r="A12" s="42" t="s">
        <v>32</v>
      </c>
      <c r="B12" s="43"/>
      <c r="C12" s="43"/>
      <c r="D12" s="43"/>
      <c r="E12" s="43"/>
      <c r="F12" s="44"/>
    </row>
    <row r="13">
      <c r="A13" s="42" t="s">
        <v>33</v>
      </c>
      <c r="B13" s="43">
        <v>3.0</v>
      </c>
      <c r="C13" s="43">
        <v>0.0</v>
      </c>
      <c r="D13" s="43">
        <v>0.0</v>
      </c>
      <c r="E13" s="43">
        <v>0.0</v>
      </c>
      <c r="F13" s="44">
        <v>0.0</v>
      </c>
    </row>
    <row r="14">
      <c r="A14" s="42" t="s">
        <v>34</v>
      </c>
      <c r="B14" s="43"/>
      <c r="C14" s="43"/>
      <c r="D14" s="43"/>
      <c r="E14" s="43"/>
      <c r="F14" s="44"/>
    </row>
    <row r="15">
      <c r="A15" s="42" t="s">
        <v>35</v>
      </c>
      <c r="B15" s="43">
        <v>10.0</v>
      </c>
      <c r="C15" s="43">
        <v>0.0</v>
      </c>
      <c r="D15" s="43">
        <v>1.0</v>
      </c>
      <c r="E15" s="43">
        <v>1.0</v>
      </c>
      <c r="F15" s="44">
        <v>3.0</v>
      </c>
    </row>
    <row r="16">
      <c r="A16" s="42" t="s">
        <v>36</v>
      </c>
      <c r="B16" s="43">
        <v>7.0</v>
      </c>
      <c r="C16" s="43">
        <v>0.0</v>
      </c>
      <c r="D16" s="43">
        <v>0.0</v>
      </c>
      <c r="E16" s="43">
        <v>0.0</v>
      </c>
      <c r="F16" s="44">
        <v>0.0</v>
      </c>
    </row>
    <row r="17">
      <c r="A17" s="42" t="s">
        <v>37</v>
      </c>
      <c r="B17" s="43">
        <v>5.0</v>
      </c>
      <c r="C17" s="43">
        <v>1.0</v>
      </c>
      <c r="D17" s="43">
        <v>0.0</v>
      </c>
      <c r="E17" s="43">
        <v>1.0</v>
      </c>
      <c r="F17" s="44">
        <v>1.0</v>
      </c>
    </row>
    <row r="18">
      <c r="A18" s="42" t="s">
        <v>38</v>
      </c>
      <c r="B18" s="43">
        <v>9.0</v>
      </c>
      <c r="C18" s="43">
        <v>0.0</v>
      </c>
      <c r="D18" s="43">
        <v>1.0</v>
      </c>
      <c r="E18" s="43">
        <v>0.0</v>
      </c>
      <c r="F18" s="44">
        <v>2.0</v>
      </c>
    </row>
    <row r="19">
      <c r="A19" s="42" t="s">
        <v>39</v>
      </c>
      <c r="B19" s="43">
        <v>10.0</v>
      </c>
      <c r="C19" s="43">
        <v>1.0</v>
      </c>
      <c r="D19" s="43">
        <v>0.0</v>
      </c>
      <c r="E19" s="43">
        <v>1.0</v>
      </c>
      <c r="F19" s="44">
        <v>1.0</v>
      </c>
    </row>
    <row r="20">
      <c r="A20" s="42" t="s">
        <v>40</v>
      </c>
      <c r="B20" s="43">
        <v>10.0</v>
      </c>
      <c r="C20" s="43">
        <v>1.0</v>
      </c>
      <c r="D20" s="43">
        <v>0.0</v>
      </c>
      <c r="E20" s="43">
        <v>1.0</v>
      </c>
      <c r="F20" s="44">
        <v>3.0</v>
      </c>
    </row>
    <row r="21">
      <c r="A21" s="42" t="s">
        <v>41</v>
      </c>
      <c r="B21" s="43">
        <v>8.0</v>
      </c>
      <c r="C21" s="43">
        <v>0.0</v>
      </c>
      <c r="D21" s="43">
        <v>1.0</v>
      </c>
      <c r="E21" s="43">
        <v>0.0</v>
      </c>
      <c r="F21" s="44">
        <v>0.0</v>
      </c>
    </row>
    <row r="22">
      <c r="A22" s="42" t="s">
        <v>42</v>
      </c>
      <c r="B22" s="43">
        <v>7.0</v>
      </c>
      <c r="C22" s="43">
        <v>0.0</v>
      </c>
      <c r="D22" s="43">
        <v>0.0</v>
      </c>
      <c r="E22" s="43">
        <v>0.0</v>
      </c>
      <c r="F22" s="44">
        <v>1.0</v>
      </c>
    </row>
    <row r="23">
      <c r="A23" s="42" t="s">
        <v>43</v>
      </c>
      <c r="B23" s="43">
        <v>7.0</v>
      </c>
      <c r="C23" s="43">
        <v>0.0</v>
      </c>
      <c r="D23" s="43">
        <v>0.0</v>
      </c>
      <c r="E23" s="43">
        <v>0.0</v>
      </c>
      <c r="F23" s="44">
        <v>0.0</v>
      </c>
    </row>
    <row r="24">
      <c r="A24" s="42" t="s">
        <v>44</v>
      </c>
      <c r="B24" s="43">
        <v>4.0</v>
      </c>
      <c r="C24" s="43">
        <v>0.0</v>
      </c>
      <c r="D24" s="43">
        <v>0.0</v>
      </c>
      <c r="E24" s="43">
        <v>0.0</v>
      </c>
      <c r="F24" s="44">
        <v>0.0</v>
      </c>
    </row>
    <row r="25">
      <c r="A25" s="45" t="s">
        <v>45</v>
      </c>
      <c r="B25" s="46"/>
      <c r="C25" s="46"/>
      <c r="D25" s="46"/>
      <c r="E25" s="46"/>
      <c r="F25" s="47"/>
    </row>
    <row r="26">
      <c r="A26" s="48"/>
      <c r="B26" s="48"/>
      <c r="C26" s="48"/>
      <c r="D26" s="48"/>
      <c r="E26" s="48"/>
      <c r="F26" s="48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46</v>
      </c>
      <c r="B1" s="37" t="s">
        <v>2</v>
      </c>
      <c r="C1" s="37" t="s">
        <v>3</v>
      </c>
      <c r="D1" s="37" t="s">
        <v>4</v>
      </c>
      <c r="E1" s="37" t="s">
        <v>5</v>
      </c>
      <c r="F1" s="38" t="s">
        <v>47</v>
      </c>
    </row>
    <row r="2">
      <c r="A2" s="39" t="s">
        <v>18</v>
      </c>
      <c r="B2" s="40">
        <v>9.0</v>
      </c>
      <c r="C2" s="40">
        <v>2.0</v>
      </c>
      <c r="D2" s="40">
        <v>1.0</v>
      </c>
      <c r="E2" s="40">
        <v>1.0</v>
      </c>
      <c r="F2" s="41">
        <v>5.0</v>
      </c>
    </row>
    <row r="3">
      <c r="A3" s="42" t="s">
        <v>20</v>
      </c>
      <c r="B3" s="43">
        <v>9.0</v>
      </c>
      <c r="C3" s="43">
        <v>0.0</v>
      </c>
      <c r="D3" s="43">
        <v>0.0</v>
      </c>
      <c r="E3" s="43">
        <v>0.0</v>
      </c>
      <c r="F3" s="44">
        <v>1.0</v>
      </c>
    </row>
    <row r="4">
      <c r="A4" s="42" t="s">
        <v>22</v>
      </c>
      <c r="B4" s="43"/>
      <c r="C4" s="43"/>
      <c r="D4" s="43"/>
      <c r="E4" s="43"/>
      <c r="F4" s="44"/>
    </row>
    <row r="5">
      <c r="A5" s="42" t="s">
        <v>24</v>
      </c>
      <c r="B5" s="43">
        <v>10.0</v>
      </c>
      <c r="C5" s="43">
        <v>1.0</v>
      </c>
      <c r="D5" s="43">
        <v>3.0</v>
      </c>
      <c r="E5" s="43">
        <v>0.0</v>
      </c>
      <c r="F5" s="44">
        <v>0.0</v>
      </c>
    </row>
    <row r="6">
      <c r="A6" s="42" t="s">
        <v>25</v>
      </c>
      <c r="B6" s="43">
        <v>10.0</v>
      </c>
      <c r="C6" s="43">
        <v>0.0</v>
      </c>
      <c r="D6" s="43">
        <v>0.0</v>
      </c>
      <c r="E6" s="43">
        <v>0.0</v>
      </c>
      <c r="F6" s="44">
        <v>2.0</v>
      </c>
    </row>
    <row r="7">
      <c r="A7" s="42" t="s">
        <v>26</v>
      </c>
      <c r="B7" s="43">
        <v>7.0</v>
      </c>
      <c r="C7" s="43">
        <v>0.0</v>
      </c>
      <c r="D7" s="43">
        <v>1.0</v>
      </c>
      <c r="E7" s="43">
        <v>2.0</v>
      </c>
      <c r="F7" s="44">
        <v>1.0</v>
      </c>
    </row>
    <row r="8">
      <c r="A8" s="42" t="s">
        <v>28</v>
      </c>
      <c r="B8" s="43">
        <v>6.0</v>
      </c>
      <c r="C8" s="43">
        <v>0.0</v>
      </c>
      <c r="D8" s="43">
        <v>0.0</v>
      </c>
      <c r="E8" s="43">
        <v>0.0</v>
      </c>
      <c r="F8" s="44">
        <v>1.0</v>
      </c>
    </row>
    <row r="9">
      <c r="A9" s="42" t="s">
        <v>29</v>
      </c>
      <c r="B9" s="43">
        <v>5.0</v>
      </c>
      <c r="C9" s="43">
        <v>0.0</v>
      </c>
      <c r="D9" s="43">
        <v>0.0</v>
      </c>
      <c r="E9" s="43">
        <v>0.0</v>
      </c>
      <c r="F9" s="44">
        <v>1.0</v>
      </c>
    </row>
    <row r="10">
      <c r="A10" s="42" t="s">
        <v>30</v>
      </c>
      <c r="B10" s="43">
        <v>7.0</v>
      </c>
      <c r="C10" s="43">
        <v>1.0</v>
      </c>
      <c r="D10" s="43">
        <v>0.0</v>
      </c>
      <c r="E10" s="43">
        <v>0.0</v>
      </c>
      <c r="F10" s="44">
        <v>1.0</v>
      </c>
    </row>
    <row r="11">
      <c r="A11" s="42" t="s">
        <v>31</v>
      </c>
      <c r="B11" s="43">
        <v>5.0</v>
      </c>
      <c r="C11" s="43">
        <v>0.0</v>
      </c>
      <c r="D11" s="43">
        <v>1.0</v>
      </c>
      <c r="E11" s="43">
        <v>0.0</v>
      </c>
      <c r="F11" s="44">
        <v>0.0</v>
      </c>
    </row>
    <row r="12">
      <c r="A12" s="42" t="s">
        <v>32</v>
      </c>
      <c r="B12" s="43"/>
      <c r="C12" s="43"/>
      <c r="D12" s="43"/>
      <c r="E12" s="43"/>
      <c r="F12" s="44"/>
    </row>
    <row r="13">
      <c r="A13" s="42" t="s">
        <v>33</v>
      </c>
      <c r="B13" s="43">
        <v>4.0</v>
      </c>
      <c r="C13" s="43">
        <v>1.0</v>
      </c>
      <c r="D13" s="43">
        <v>0.0</v>
      </c>
      <c r="E13" s="43">
        <v>0.0</v>
      </c>
      <c r="F13" s="44">
        <v>0.0</v>
      </c>
    </row>
    <row r="14">
      <c r="A14" s="42" t="s">
        <v>34</v>
      </c>
      <c r="B14" s="43"/>
      <c r="C14" s="43"/>
      <c r="D14" s="43"/>
      <c r="E14" s="43"/>
      <c r="F14" s="44"/>
    </row>
    <row r="15">
      <c r="A15" s="42" t="s">
        <v>35</v>
      </c>
      <c r="B15" s="43">
        <v>10.0</v>
      </c>
      <c r="C15" s="43">
        <v>0.0</v>
      </c>
      <c r="D15" s="43">
        <v>0.0</v>
      </c>
      <c r="E15" s="43">
        <v>1.0</v>
      </c>
      <c r="F15" s="44">
        <v>1.0</v>
      </c>
    </row>
    <row r="16">
      <c r="A16" s="42" t="s">
        <v>36</v>
      </c>
      <c r="B16" s="43"/>
      <c r="C16" s="43"/>
      <c r="D16" s="43"/>
      <c r="E16" s="43"/>
      <c r="F16" s="44"/>
    </row>
    <row r="17">
      <c r="A17" s="42" t="s">
        <v>37</v>
      </c>
      <c r="B17" s="43">
        <v>6.0</v>
      </c>
      <c r="C17" s="43">
        <v>0.0</v>
      </c>
      <c r="D17" s="43">
        <v>0.0</v>
      </c>
      <c r="E17" s="43">
        <v>1.0</v>
      </c>
      <c r="F17" s="44">
        <v>1.0</v>
      </c>
    </row>
    <row r="18">
      <c r="A18" s="42" t="s">
        <v>38</v>
      </c>
      <c r="B18" s="43">
        <v>7.0</v>
      </c>
      <c r="C18" s="43">
        <v>0.0</v>
      </c>
      <c r="D18" s="43">
        <v>0.0</v>
      </c>
      <c r="E18" s="43">
        <v>0.0</v>
      </c>
      <c r="F18" s="44">
        <v>1.0</v>
      </c>
    </row>
    <row r="19">
      <c r="A19" s="42" t="s">
        <v>39</v>
      </c>
      <c r="B19" s="43">
        <v>8.0</v>
      </c>
      <c r="C19" s="43">
        <v>0.0</v>
      </c>
      <c r="D19" s="43">
        <v>0.0</v>
      </c>
      <c r="E19" s="43">
        <v>1.0</v>
      </c>
      <c r="F19" s="44">
        <v>0.0</v>
      </c>
    </row>
    <row r="20">
      <c r="A20" s="42" t="s">
        <v>40</v>
      </c>
      <c r="B20" s="43">
        <v>9.0</v>
      </c>
      <c r="C20" s="43">
        <v>0.0</v>
      </c>
      <c r="D20" s="43">
        <v>0.0</v>
      </c>
      <c r="E20" s="43">
        <v>1.0</v>
      </c>
      <c r="F20" s="44">
        <v>1.0</v>
      </c>
    </row>
    <row r="21">
      <c r="A21" s="42" t="s">
        <v>41</v>
      </c>
      <c r="B21" s="43">
        <v>6.0</v>
      </c>
      <c r="C21" s="43">
        <v>1.0</v>
      </c>
      <c r="D21" s="43">
        <v>0.0</v>
      </c>
      <c r="E21" s="43">
        <v>0.0</v>
      </c>
      <c r="F21" s="44">
        <v>0.0</v>
      </c>
    </row>
    <row r="22">
      <c r="A22" s="42" t="s">
        <v>42</v>
      </c>
      <c r="B22" s="43">
        <v>5.0</v>
      </c>
      <c r="C22" s="43">
        <v>0.0</v>
      </c>
      <c r="D22" s="43">
        <v>0.0</v>
      </c>
      <c r="E22" s="43">
        <v>0.0</v>
      </c>
      <c r="F22" s="44">
        <v>1.0</v>
      </c>
    </row>
    <row r="23">
      <c r="A23" s="42" t="s">
        <v>43</v>
      </c>
      <c r="B23" s="43">
        <v>5.0</v>
      </c>
      <c r="C23" s="43">
        <v>0.0</v>
      </c>
      <c r="D23" s="43">
        <v>0.0</v>
      </c>
      <c r="E23" s="43">
        <v>0.0</v>
      </c>
      <c r="F23" s="44">
        <v>0.0</v>
      </c>
    </row>
    <row r="24">
      <c r="A24" s="42" t="s">
        <v>44</v>
      </c>
      <c r="B24" s="43">
        <v>5.0</v>
      </c>
      <c r="C24" s="43">
        <v>0.0</v>
      </c>
      <c r="D24" s="43">
        <v>0.0</v>
      </c>
      <c r="E24" s="43">
        <v>0.0</v>
      </c>
      <c r="F24" s="44">
        <v>0.0</v>
      </c>
    </row>
    <row r="25">
      <c r="A25" s="45" t="s">
        <v>45</v>
      </c>
      <c r="B25" s="46"/>
      <c r="C25" s="46"/>
      <c r="D25" s="46"/>
      <c r="E25" s="46"/>
      <c r="F25" s="47"/>
    </row>
    <row r="26">
      <c r="A26" s="48"/>
      <c r="B26" s="48"/>
      <c r="C26" s="48"/>
      <c r="D26" s="48"/>
      <c r="E26" s="48"/>
      <c r="F26" s="48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46</v>
      </c>
      <c r="B1" s="37" t="s">
        <v>2</v>
      </c>
      <c r="C1" s="37" t="s">
        <v>3</v>
      </c>
      <c r="D1" s="37" t="s">
        <v>4</v>
      </c>
      <c r="E1" s="37" t="s">
        <v>5</v>
      </c>
      <c r="F1" s="38" t="s">
        <v>47</v>
      </c>
    </row>
    <row r="2">
      <c r="A2" s="39" t="s">
        <v>18</v>
      </c>
      <c r="B2" s="40">
        <v>8.0</v>
      </c>
      <c r="C2" s="40">
        <v>2.0</v>
      </c>
      <c r="D2" s="40">
        <v>1.0</v>
      </c>
      <c r="E2" s="40">
        <v>1.0</v>
      </c>
      <c r="F2" s="41">
        <v>3.0</v>
      </c>
    </row>
    <row r="3">
      <c r="A3" s="42" t="s">
        <v>20</v>
      </c>
      <c r="B3" s="43">
        <v>9.0</v>
      </c>
      <c r="C3" s="43">
        <v>0.0</v>
      </c>
      <c r="D3" s="43">
        <v>1.0</v>
      </c>
      <c r="E3" s="43">
        <v>1.0</v>
      </c>
      <c r="F3" s="44">
        <v>2.0</v>
      </c>
    </row>
    <row r="4">
      <c r="A4" s="42" t="s">
        <v>22</v>
      </c>
      <c r="B4" s="43"/>
      <c r="C4" s="43"/>
      <c r="D4" s="43"/>
      <c r="E4" s="43"/>
      <c r="F4" s="44"/>
    </row>
    <row r="5">
      <c r="A5" s="42" t="s">
        <v>24</v>
      </c>
      <c r="B5" s="43">
        <v>10.0</v>
      </c>
      <c r="C5" s="43">
        <v>3.0</v>
      </c>
      <c r="D5" s="43">
        <v>1.0</v>
      </c>
      <c r="E5" s="43">
        <v>0.0</v>
      </c>
      <c r="F5" s="44">
        <v>0.0</v>
      </c>
    </row>
    <row r="6">
      <c r="A6" s="42" t="s">
        <v>25</v>
      </c>
      <c r="B6" s="43">
        <v>9.0</v>
      </c>
      <c r="C6" s="43">
        <v>0.0</v>
      </c>
      <c r="D6" s="43">
        <v>0.0</v>
      </c>
      <c r="E6" s="43">
        <v>0.0</v>
      </c>
      <c r="F6" s="44">
        <v>1.0</v>
      </c>
    </row>
    <row r="7">
      <c r="A7" s="42" t="s">
        <v>26</v>
      </c>
      <c r="B7" s="43">
        <v>7.0</v>
      </c>
      <c r="C7" s="43">
        <v>0.0</v>
      </c>
      <c r="D7" s="43">
        <v>0.0</v>
      </c>
      <c r="E7" s="43">
        <v>1.0</v>
      </c>
      <c r="F7" s="44">
        <v>0.0</v>
      </c>
    </row>
    <row r="8">
      <c r="A8" s="42" t="s">
        <v>28</v>
      </c>
      <c r="B8" s="43">
        <v>3.0</v>
      </c>
      <c r="C8" s="43">
        <v>0.0</v>
      </c>
      <c r="D8" s="43">
        <v>1.0</v>
      </c>
      <c r="E8" s="43">
        <v>0.0</v>
      </c>
      <c r="F8" s="44">
        <v>0.0</v>
      </c>
    </row>
    <row r="9">
      <c r="A9" s="42" t="s">
        <v>29</v>
      </c>
      <c r="B9" s="43">
        <v>5.0</v>
      </c>
      <c r="C9" s="43">
        <v>0.0</v>
      </c>
      <c r="D9" s="43">
        <v>0.0</v>
      </c>
      <c r="E9" s="43">
        <v>0.0</v>
      </c>
      <c r="F9" s="44">
        <v>1.0</v>
      </c>
    </row>
    <row r="10">
      <c r="A10" s="42" t="s">
        <v>30</v>
      </c>
      <c r="B10" s="43">
        <v>8.0</v>
      </c>
      <c r="C10" s="43">
        <v>1.0</v>
      </c>
      <c r="D10" s="43">
        <v>0.0</v>
      </c>
      <c r="E10" s="43">
        <v>0.0</v>
      </c>
      <c r="F10" s="44">
        <v>0.0</v>
      </c>
    </row>
    <row r="11">
      <c r="A11" s="42" t="s">
        <v>31</v>
      </c>
      <c r="B11" s="43">
        <v>7.0</v>
      </c>
      <c r="C11" s="43">
        <v>0.0</v>
      </c>
      <c r="D11" s="43">
        <v>1.0</v>
      </c>
      <c r="E11" s="43">
        <v>1.0</v>
      </c>
      <c r="F11" s="44">
        <v>0.0</v>
      </c>
    </row>
    <row r="12">
      <c r="A12" s="42" t="s">
        <v>32</v>
      </c>
      <c r="B12" s="43"/>
      <c r="C12" s="43"/>
      <c r="D12" s="43"/>
      <c r="E12" s="43"/>
      <c r="F12" s="44"/>
    </row>
    <row r="13">
      <c r="A13" s="42" t="s">
        <v>33</v>
      </c>
      <c r="B13" s="43">
        <v>2.0</v>
      </c>
      <c r="C13" s="43">
        <v>0.0</v>
      </c>
      <c r="D13" s="43">
        <v>0.0</v>
      </c>
      <c r="E13" s="43">
        <v>0.0</v>
      </c>
      <c r="F13" s="44">
        <v>0.0</v>
      </c>
    </row>
    <row r="14">
      <c r="A14" s="42" t="s">
        <v>34</v>
      </c>
      <c r="B14" s="43"/>
      <c r="C14" s="43"/>
      <c r="D14" s="43"/>
      <c r="E14" s="43"/>
      <c r="F14" s="44"/>
    </row>
    <row r="15">
      <c r="A15" s="42" t="s">
        <v>35</v>
      </c>
      <c r="B15" s="43">
        <v>11.0</v>
      </c>
      <c r="C15" s="43">
        <v>2.0</v>
      </c>
      <c r="D15" s="43">
        <v>2.0</v>
      </c>
      <c r="E15" s="43">
        <v>1.0</v>
      </c>
      <c r="F15" s="44">
        <v>2.0</v>
      </c>
    </row>
    <row r="16">
      <c r="A16" s="42" t="s">
        <v>36</v>
      </c>
      <c r="B16" s="43">
        <v>9.0</v>
      </c>
      <c r="C16" s="43">
        <v>1.0</v>
      </c>
      <c r="D16" s="43">
        <v>0.0</v>
      </c>
      <c r="E16" s="43">
        <v>0.0</v>
      </c>
      <c r="F16" s="44">
        <v>2.0</v>
      </c>
    </row>
    <row r="17">
      <c r="A17" s="42" t="s">
        <v>37</v>
      </c>
      <c r="B17" s="43">
        <v>5.0</v>
      </c>
      <c r="C17" s="43">
        <v>0.0</v>
      </c>
      <c r="D17" s="43">
        <v>0.0</v>
      </c>
      <c r="E17" s="43">
        <v>1.0</v>
      </c>
      <c r="F17" s="44">
        <v>0.0</v>
      </c>
    </row>
    <row r="18">
      <c r="A18" s="42" t="s">
        <v>38</v>
      </c>
      <c r="B18" s="43">
        <v>8.0</v>
      </c>
      <c r="C18" s="43">
        <v>0.0</v>
      </c>
      <c r="D18" s="43">
        <v>0.0</v>
      </c>
      <c r="E18" s="43">
        <v>0.0</v>
      </c>
      <c r="F18" s="44">
        <v>0.0</v>
      </c>
    </row>
    <row r="19">
      <c r="A19" s="42" t="s">
        <v>39</v>
      </c>
      <c r="B19" s="43">
        <v>10.0</v>
      </c>
      <c r="C19" s="43">
        <v>0.0</v>
      </c>
      <c r="D19" s="43">
        <v>0.0</v>
      </c>
      <c r="E19" s="43">
        <v>0.0</v>
      </c>
      <c r="F19" s="44">
        <v>1.0</v>
      </c>
    </row>
    <row r="20">
      <c r="A20" s="42" t="s">
        <v>40</v>
      </c>
      <c r="B20" s="43">
        <v>10.0</v>
      </c>
      <c r="C20" s="43">
        <v>1.0</v>
      </c>
      <c r="D20" s="43">
        <v>0.0</v>
      </c>
      <c r="E20" s="43">
        <v>2.0</v>
      </c>
      <c r="F20" s="44">
        <v>3.0</v>
      </c>
    </row>
    <row r="21">
      <c r="A21" s="42" t="s">
        <v>41</v>
      </c>
      <c r="B21" s="43">
        <v>8.0</v>
      </c>
      <c r="C21" s="43">
        <v>0.0</v>
      </c>
      <c r="D21" s="43">
        <v>2.0</v>
      </c>
      <c r="E21" s="43">
        <v>1.0</v>
      </c>
      <c r="F21" s="44">
        <v>1.0</v>
      </c>
    </row>
    <row r="22">
      <c r="A22" s="42" t="s">
        <v>42</v>
      </c>
      <c r="B22" s="43">
        <v>5.0</v>
      </c>
      <c r="C22" s="43">
        <v>0.0</v>
      </c>
      <c r="D22" s="43">
        <v>0.0</v>
      </c>
      <c r="E22" s="43">
        <v>0.0</v>
      </c>
      <c r="F22" s="44">
        <v>0.0</v>
      </c>
    </row>
    <row r="23">
      <c r="A23" s="42" t="s">
        <v>43</v>
      </c>
      <c r="B23" s="43">
        <v>5.0</v>
      </c>
      <c r="C23" s="43">
        <v>0.0</v>
      </c>
      <c r="D23" s="43">
        <v>1.0</v>
      </c>
      <c r="E23" s="43">
        <v>0.0</v>
      </c>
      <c r="F23" s="44">
        <v>0.0</v>
      </c>
    </row>
    <row r="24">
      <c r="A24" s="42" t="s">
        <v>44</v>
      </c>
      <c r="B24" s="43">
        <v>2.0</v>
      </c>
      <c r="C24" s="43">
        <v>0.0</v>
      </c>
      <c r="D24" s="43">
        <v>0.0</v>
      </c>
      <c r="E24" s="43">
        <v>0.0</v>
      </c>
      <c r="F24" s="44">
        <v>0.0</v>
      </c>
    </row>
    <row r="25">
      <c r="A25" s="45" t="s">
        <v>45</v>
      </c>
      <c r="B25" s="46"/>
      <c r="C25" s="46"/>
      <c r="D25" s="46"/>
      <c r="E25" s="46"/>
      <c r="F25" s="47"/>
    </row>
    <row r="26">
      <c r="A26" s="48"/>
      <c r="B26" s="48"/>
      <c r="C26" s="48"/>
      <c r="D26" s="48"/>
      <c r="E26" s="48"/>
      <c r="F26" s="48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46</v>
      </c>
      <c r="B1" s="37" t="s">
        <v>2</v>
      </c>
      <c r="C1" s="37" t="s">
        <v>3</v>
      </c>
      <c r="D1" s="37" t="s">
        <v>4</v>
      </c>
      <c r="E1" s="37" t="s">
        <v>5</v>
      </c>
      <c r="F1" s="38" t="s">
        <v>47</v>
      </c>
    </row>
    <row r="2">
      <c r="A2" s="39" t="s">
        <v>18</v>
      </c>
      <c r="B2" s="40">
        <v>6.0</v>
      </c>
      <c r="C2" s="40">
        <v>0.0</v>
      </c>
      <c r="D2" s="40">
        <v>1.0</v>
      </c>
      <c r="E2" s="40">
        <v>1.0</v>
      </c>
      <c r="F2" s="41">
        <v>2.0</v>
      </c>
    </row>
    <row r="3">
      <c r="A3" s="42" t="s">
        <v>20</v>
      </c>
      <c r="B3" s="43">
        <v>6.0</v>
      </c>
      <c r="C3" s="43">
        <v>1.0</v>
      </c>
      <c r="D3" s="43">
        <v>0.0</v>
      </c>
      <c r="E3" s="43">
        <v>0.0</v>
      </c>
      <c r="F3" s="44">
        <v>1.0</v>
      </c>
    </row>
    <row r="4">
      <c r="A4" s="42" t="s">
        <v>22</v>
      </c>
      <c r="B4" s="43"/>
      <c r="C4" s="43"/>
      <c r="D4" s="43"/>
      <c r="E4" s="43"/>
      <c r="F4" s="44"/>
    </row>
    <row r="5">
      <c r="A5" s="42" t="s">
        <v>24</v>
      </c>
      <c r="B5" s="43">
        <v>5.0</v>
      </c>
      <c r="C5" s="43">
        <v>0.0</v>
      </c>
      <c r="D5" s="43">
        <v>0.0</v>
      </c>
      <c r="E5" s="43">
        <v>0.0</v>
      </c>
      <c r="F5" s="44">
        <v>1.0</v>
      </c>
    </row>
    <row r="6">
      <c r="A6" s="42" t="s">
        <v>25</v>
      </c>
      <c r="B6" s="43">
        <v>6.0</v>
      </c>
      <c r="C6" s="43">
        <v>0.0</v>
      </c>
      <c r="D6" s="43">
        <v>0.0</v>
      </c>
      <c r="E6" s="43">
        <v>0.0</v>
      </c>
      <c r="F6" s="44">
        <v>0.0</v>
      </c>
    </row>
    <row r="7">
      <c r="A7" s="42" t="s">
        <v>26</v>
      </c>
      <c r="B7" s="43">
        <v>5.0</v>
      </c>
      <c r="C7" s="43">
        <v>0.0</v>
      </c>
      <c r="D7" s="43">
        <v>0.0</v>
      </c>
      <c r="E7" s="43">
        <v>0.0</v>
      </c>
      <c r="F7" s="44">
        <v>1.0</v>
      </c>
    </row>
    <row r="8">
      <c r="A8" s="42" t="s">
        <v>28</v>
      </c>
      <c r="B8" s="43"/>
      <c r="C8" s="43"/>
      <c r="D8" s="43"/>
      <c r="E8" s="43"/>
      <c r="F8" s="44"/>
    </row>
    <row r="9">
      <c r="A9" s="42" t="s">
        <v>29</v>
      </c>
      <c r="B9" s="43">
        <v>5.0</v>
      </c>
      <c r="C9" s="43">
        <v>1.0</v>
      </c>
      <c r="D9" s="43">
        <v>0.0</v>
      </c>
      <c r="E9" s="43">
        <v>0.0</v>
      </c>
      <c r="F9" s="44">
        <v>0.0</v>
      </c>
    </row>
    <row r="10">
      <c r="A10" s="42" t="s">
        <v>30</v>
      </c>
      <c r="B10" s="43">
        <v>5.0</v>
      </c>
      <c r="C10" s="43">
        <v>0.0</v>
      </c>
      <c r="D10" s="43">
        <v>1.0</v>
      </c>
      <c r="E10" s="43">
        <v>0.0</v>
      </c>
      <c r="F10" s="44">
        <v>0.0</v>
      </c>
    </row>
    <row r="11">
      <c r="A11" s="42" t="s">
        <v>31</v>
      </c>
      <c r="B11" s="43">
        <v>4.0</v>
      </c>
      <c r="C11" s="43">
        <v>0.0</v>
      </c>
      <c r="D11" s="43">
        <v>0.0</v>
      </c>
      <c r="E11" s="43">
        <v>0.0</v>
      </c>
      <c r="F11" s="44">
        <v>0.0</v>
      </c>
    </row>
    <row r="12">
      <c r="A12" s="42" t="s">
        <v>32</v>
      </c>
      <c r="B12" s="43"/>
      <c r="C12" s="43"/>
      <c r="D12" s="43"/>
      <c r="E12" s="43"/>
      <c r="F12" s="44"/>
    </row>
    <row r="13">
      <c r="A13" s="42" t="s">
        <v>33</v>
      </c>
      <c r="B13" s="43">
        <v>3.0</v>
      </c>
      <c r="C13" s="43">
        <v>0.0</v>
      </c>
      <c r="D13" s="43">
        <v>0.0</v>
      </c>
      <c r="E13" s="43">
        <v>0.0</v>
      </c>
      <c r="F13" s="44">
        <v>0.0</v>
      </c>
    </row>
    <row r="14">
      <c r="A14" s="42" t="s">
        <v>34</v>
      </c>
      <c r="B14" s="43"/>
      <c r="C14" s="43"/>
      <c r="D14" s="43"/>
      <c r="E14" s="43"/>
      <c r="F14" s="44"/>
    </row>
    <row r="15">
      <c r="A15" s="42" t="s">
        <v>35</v>
      </c>
      <c r="B15" s="43">
        <v>6.0</v>
      </c>
      <c r="C15" s="43">
        <v>0.0</v>
      </c>
      <c r="D15" s="43">
        <v>0.0</v>
      </c>
      <c r="E15" s="43">
        <v>1.0</v>
      </c>
      <c r="F15" s="44">
        <v>0.0</v>
      </c>
    </row>
    <row r="16">
      <c r="A16" s="42" t="s">
        <v>36</v>
      </c>
      <c r="B16" s="43">
        <v>4.0</v>
      </c>
      <c r="C16" s="43">
        <v>0.0</v>
      </c>
      <c r="D16" s="43">
        <v>0.0</v>
      </c>
      <c r="E16" s="43">
        <v>0.0</v>
      </c>
      <c r="F16" s="44">
        <v>3.0</v>
      </c>
    </row>
    <row r="17">
      <c r="A17" s="42" t="s">
        <v>37</v>
      </c>
      <c r="B17" s="43">
        <v>3.0</v>
      </c>
      <c r="C17" s="43">
        <v>0.0</v>
      </c>
      <c r="D17" s="43">
        <v>0.0</v>
      </c>
      <c r="E17" s="43">
        <v>0.0</v>
      </c>
      <c r="F17" s="44">
        <v>1.0</v>
      </c>
    </row>
    <row r="18">
      <c r="A18" s="42" t="s">
        <v>38</v>
      </c>
      <c r="B18" s="43">
        <v>4.0</v>
      </c>
      <c r="C18" s="43">
        <v>0.0</v>
      </c>
      <c r="D18" s="43">
        <v>0.0</v>
      </c>
      <c r="E18" s="43">
        <v>0.0</v>
      </c>
      <c r="F18" s="44">
        <v>1.0</v>
      </c>
    </row>
    <row r="19">
      <c r="A19" s="42" t="s">
        <v>39</v>
      </c>
      <c r="B19" s="43">
        <v>4.0</v>
      </c>
      <c r="C19" s="43">
        <v>0.0</v>
      </c>
      <c r="D19" s="43">
        <v>0.0</v>
      </c>
      <c r="E19" s="43">
        <v>0.0</v>
      </c>
      <c r="F19" s="44">
        <v>0.0</v>
      </c>
    </row>
    <row r="20">
      <c r="A20" s="42" t="s">
        <v>40</v>
      </c>
      <c r="B20" s="43">
        <v>4.0</v>
      </c>
      <c r="C20" s="43">
        <v>0.0</v>
      </c>
      <c r="D20" s="43">
        <v>0.0</v>
      </c>
      <c r="E20" s="43">
        <v>0.0</v>
      </c>
      <c r="F20" s="44">
        <v>0.0</v>
      </c>
    </row>
    <row r="21">
      <c r="A21" s="42" t="s">
        <v>41</v>
      </c>
      <c r="B21" s="43">
        <v>3.0</v>
      </c>
      <c r="C21" s="43">
        <v>0.0</v>
      </c>
      <c r="D21" s="43">
        <v>1.0</v>
      </c>
      <c r="E21" s="43">
        <v>0.0</v>
      </c>
      <c r="F21" s="44">
        <v>0.0</v>
      </c>
    </row>
    <row r="22">
      <c r="A22" s="42" t="s">
        <v>42</v>
      </c>
      <c r="B22" s="43">
        <v>3.0</v>
      </c>
      <c r="C22" s="43">
        <v>0.0</v>
      </c>
      <c r="D22" s="43">
        <v>0.0</v>
      </c>
      <c r="E22" s="43">
        <v>0.0</v>
      </c>
      <c r="F22" s="44">
        <v>0.0</v>
      </c>
    </row>
    <row r="23">
      <c r="A23" s="42" t="s">
        <v>43</v>
      </c>
      <c r="B23" s="43">
        <v>3.0</v>
      </c>
      <c r="C23" s="43">
        <v>0.0</v>
      </c>
      <c r="D23" s="43">
        <v>0.0</v>
      </c>
      <c r="E23" s="43">
        <v>0.0</v>
      </c>
      <c r="F23" s="44">
        <v>1.0</v>
      </c>
    </row>
    <row r="24">
      <c r="A24" s="42" t="s">
        <v>44</v>
      </c>
      <c r="B24" s="43">
        <v>2.0</v>
      </c>
      <c r="C24" s="43">
        <v>0.0</v>
      </c>
      <c r="D24" s="43">
        <v>0.0</v>
      </c>
      <c r="E24" s="43">
        <v>0.0</v>
      </c>
      <c r="F24" s="44">
        <v>0.0</v>
      </c>
    </row>
    <row r="25">
      <c r="A25" s="45" t="s">
        <v>45</v>
      </c>
      <c r="B25" s="46">
        <v>3.0</v>
      </c>
      <c r="C25" s="46">
        <v>0.0</v>
      </c>
      <c r="D25" s="46">
        <v>0.0</v>
      </c>
      <c r="E25" s="46">
        <v>0.0</v>
      </c>
      <c r="F25" s="47">
        <v>0.0</v>
      </c>
    </row>
    <row r="26">
      <c r="A26" s="48"/>
      <c r="B26" s="48"/>
      <c r="C26" s="48"/>
      <c r="D26" s="48"/>
      <c r="E26" s="48"/>
      <c r="F26" s="48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</row>
    <row r="2">
      <c r="A2" s="49" t="s">
        <v>11</v>
      </c>
      <c r="B2" s="52">
        <f t="shared" ref="B2:B8" si="1">INDIRECT("'"&amp;$A2&amp;"'!B$2")</f>
        <v>9</v>
      </c>
      <c r="C2" s="53">
        <f t="shared" ref="C2:C8" si="2">INDIRECT("'"&amp;$A2&amp;"'!C$2")</f>
        <v>2</v>
      </c>
      <c r="D2" s="53">
        <f t="shared" ref="D2:D8" si="3">INDIRECT("'"&amp;$A2&amp;"'!D$2")</f>
        <v>0</v>
      </c>
      <c r="E2" s="53">
        <f t="shared" ref="E2:E8" si="4">INDIRECT("'"&amp;$A2&amp;"'!E$2")</f>
        <v>3</v>
      </c>
      <c r="F2" s="54">
        <f t="shared" ref="F2:F8" si="5">INDIRECT("'"&amp;$A2&amp;"'!F$2")</f>
        <v>3</v>
      </c>
    </row>
    <row r="3">
      <c r="A3" s="55" t="s">
        <v>12</v>
      </c>
      <c r="B3" s="56">
        <f t="shared" si="1"/>
        <v>9</v>
      </c>
      <c r="C3" s="57">
        <f t="shared" si="2"/>
        <v>3</v>
      </c>
      <c r="D3" s="57">
        <f t="shared" si="3"/>
        <v>1</v>
      </c>
      <c r="E3" s="57">
        <f t="shared" si="4"/>
        <v>2</v>
      </c>
      <c r="F3" s="58">
        <f t="shared" si="5"/>
        <v>1</v>
      </c>
    </row>
    <row r="4">
      <c r="A4" s="55" t="s">
        <v>13</v>
      </c>
      <c r="B4" s="56" t="str">
        <f t="shared" si="1"/>
        <v/>
      </c>
      <c r="C4" s="57" t="str">
        <f t="shared" si="2"/>
        <v/>
      </c>
      <c r="D4" s="57" t="str">
        <f t="shared" si="3"/>
        <v/>
      </c>
      <c r="E4" s="57" t="str">
        <f t="shared" si="4"/>
        <v/>
      </c>
      <c r="F4" s="58" t="str">
        <f t="shared" si="5"/>
        <v/>
      </c>
    </row>
    <row r="5">
      <c r="A5" s="55" t="s">
        <v>14</v>
      </c>
      <c r="B5" s="56">
        <f t="shared" si="1"/>
        <v>11</v>
      </c>
      <c r="C5" s="57">
        <f t="shared" si="2"/>
        <v>3</v>
      </c>
      <c r="D5" s="57">
        <f t="shared" si="3"/>
        <v>0</v>
      </c>
      <c r="E5" s="57">
        <f t="shared" si="4"/>
        <v>1</v>
      </c>
      <c r="F5" s="58">
        <f t="shared" si="5"/>
        <v>1</v>
      </c>
    </row>
    <row r="6">
      <c r="A6" s="55" t="s">
        <v>15</v>
      </c>
      <c r="B6" s="56">
        <f t="shared" si="1"/>
        <v>9</v>
      </c>
      <c r="C6" s="57">
        <f t="shared" si="2"/>
        <v>2</v>
      </c>
      <c r="D6" s="57">
        <f t="shared" si="3"/>
        <v>1</v>
      </c>
      <c r="E6" s="57">
        <f t="shared" si="4"/>
        <v>1</v>
      </c>
      <c r="F6" s="58">
        <f t="shared" si="5"/>
        <v>5</v>
      </c>
    </row>
    <row r="7">
      <c r="A7" s="55" t="s">
        <v>16</v>
      </c>
      <c r="B7" s="56">
        <f t="shared" si="1"/>
        <v>8</v>
      </c>
      <c r="C7" s="57">
        <f t="shared" si="2"/>
        <v>2</v>
      </c>
      <c r="D7" s="57">
        <f t="shared" si="3"/>
        <v>1</v>
      </c>
      <c r="E7" s="57">
        <f t="shared" si="4"/>
        <v>1</v>
      </c>
      <c r="F7" s="58">
        <f t="shared" si="5"/>
        <v>3</v>
      </c>
    </row>
    <row r="8">
      <c r="A8" s="59" t="s">
        <v>17</v>
      </c>
      <c r="B8" s="56">
        <f t="shared" si="1"/>
        <v>6</v>
      </c>
      <c r="C8" s="57">
        <f t="shared" si="2"/>
        <v>0</v>
      </c>
      <c r="D8" s="57">
        <f t="shared" si="3"/>
        <v>1</v>
      </c>
      <c r="E8" s="57">
        <f t="shared" si="4"/>
        <v>1</v>
      </c>
      <c r="F8" s="58">
        <f t="shared" si="5"/>
        <v>2</v>
      </c>
    </row>
    <row r="9">
      <c r="A9" s="60" t="s">
        <v>48</v>
      </c>
      <c r="B9" s="61">
        <f>SWITCH(SUM(B2:B8), 0, "", SUM(B2:B8))</f>
        <v>52</v>
      </c>
      <c r="C9" s="62">
        <f t="shared" ref="C9:F9" si="6">SWITCH($B$9, "", "", SUM(C$2:C$8))</f>
        <v>12</v>
      </c>
      <c r="D9" s="62">
        <f t="shared" si="6"/>
        <v>4</v>
      </c>
      <c r="E9" s="62">
        <f t="shared" si="6"/>
        <v>9</v>
      </c>
      <c r="F9" s="62">
        <f t="shared" si="6"/>
        <v>15</v>
      </c>
    </row>
    <row r="10">
      <c r="A10" s="59" t="s">
        <v>49</v>
      </c>
      <c r="B10" s="63"/>
      <c r="C10" s="64">
        <f t="shared" ref="C10:F10" si="7">SWITCH(C$9, "", "", C$9/$B$9)</f>
        <v>0.2307692308</v>
      </c>
      <c r="D10" s="64">
        <f t="shared" si="7"/>
        <v>0.07692307692</v>
      </c>
      <c r="E10" s="64">
        <f t="shared" si="7"/>
        <v>0.1730769231</v>
      </c>
      <c r="F10" s="64">
        <f t="shared" si="7"/>
        <v>0.2884615385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INDIRECT("'"&amp;$A2&amp;"'!B$3")</f>
        <v>8</v>
      </c>
      <c r="C2" s="53">
        <f t="shared" ref="C2:C8" si="2">INDIRECT("'"&amp;$A2&amp;"'!C$3")</f>
        <v>1</v>
      </c>
      <c r="D2" s="53">
        <f t="shared" ref="D2:D8" si="3">INDIRECT("'"&amp;$A2&amp;"'!D$3")</f>
        <v>0</v>
      </c>
      <c r="E2" s="53">
        <f t="shared" ref="E2:E8" si="4">INDIRECT("'"&amp;$A2&amp;"'!E$3")</f>
        <v>0</v>
      </c>
      <c r="F2" s="54">
        <f t="shared" ref="F2:F8" si="5">INDIRECT("'"&amp;$A2&amp;"'!F$3")</f>
        <v>3</v>
      </c>
      <c r="I2" s="65"/>
    </row>
    <row r="3">
      <c r="A3" s="55" t="s">
        <v>12</v>
      </c>
      <c r="B3" s="56">
        <f t="shared" si="1"/>
        <v>9</v>
      </c>
      <c r="C3" s="57">
        <f t="shared" si="2"/>
        <v>0</v>
      </c>
      <c r="D3" s="57">
        <f t="shared" si="3"/>
        <v>0</v>
      </c>
      <c r="E3" s="57">
        <f t="shared" si="4"/>
        <v>0</v>
      </c>
      <c r="F3" s="58">
        <f t="shared" si="5"/>
        <v>2</v>
      </c>
      <c r="I3" s="65"/>
    </row>
    <row r="4">
      <c r="A4" s="55" t="s">
        <v>13</v>
      </c>
      <c r="B4" s="56">
        <f t="shared" si="1"/>
        <v>10</v>
      </c>
      <c r="C4" s="57">
        <f t="shared" si="2"/>
        <v>0</v>
      </c>
      <c r="D4" s="57">
        <f t="shared" si="3"/>
        <v>1</v>
      </c>
      <c r="E4" s="57">
        <f t="shared" si="4"/>
        <v>1</v>
      </c>
      <c r="F4" s="58">
        <f t="shared" si="5"/>
        <v>2</v>
      </c>
      <c r="I4" s="65"/>
    </row>
    <row r="5">
      <c r="A5" s="55" t="s">
        <v>14</v>
      </c>
      <c r="B5" s="56">
        <f t="shared" si="1"/>
        <v>10</v>
      </c>
      <c r="C5" s="57">
        <f t="shared" si="2"/>
        <v>2</v>
      </c>
      <c r="D5" s="57">
        <f t="shared" si="3"/>
        <v>1</v>
      </c>
      <c r="E5" s="57">
        <f t="shared" si="4"/>
        <v>0</v>
      </c>
      <c r="F5" s="58">
        <f t="shared" si="5"/>
        <v>1</v>
      </c>
      <c r="I5" s="65"/>
    </row>
    <row r="6">
      <c r="A6" s="55" t="s">
        <v>15</v>
      </c>
      <c r="B6" s="56">
        <f t="shared" si="1"/>
        <v>9</v>
      </c>
      <c r="C6" s="57">
        <f t="shared" si="2"/>
        <v>0</v>
      </c>
      <c r="D6" s="57">
        <f t="shared" si="3"/>
        <v>0</v>
      </c>
      <c r="E6" s="57">
        <f t="shared" si="4"/>
        <v>0</v>
      </c>
      <c r="F6" s="58">
        <f t="shared" si="5"/>
        <v>1</v>
      </c>
      <c r="I6" s="65"/>
    </row>
    <row r="7">
      <c r="A7" s="55" t="s">
        <v>16</v>
      </c>
      <c r="B7" s="56">
        <f t="shared" si="1"/>
        <v>9</v>
      </c>
      <c r="C7" s="57">
        <f t="shared" si="2"/>
        <v>0</v>
      </c>
      <c r="D7" s="57">
        <f t="shared" si="3"/>
        <v>1</v>
      </c>
      <c r="E7" s="57">
        <f t="shared" si="4"/>
        <v>1</v>
      </c>
      <c r="F7" s="58">
        <f t="shared" si="5"/>
        <v>2</v>
      </c>
      <c r="I7" s="65"/>
    </row>
    <row r="8">
      <c r="A8" s="59" t="s">
        <v>17</v>
      </c>
      <c r="B8" s="66">
        <f t="shared" si="1"/>
        <v>6</v>
      </c>
      <c r="C8" s="67">
        <f t="shared" si="2"/>
        <v>1</v>
      </c>
      <c r="D8" s="67">
        <f t="shared" si="3"/>
        <v>0</v>
      </c>
      <c r="E8" s="67">
        <f t="shared" si="4"/>
        <v>0</v>
      </c>
      <c r="F8" s="68">
        <f t="shared" si="5"/>
        <v>1</v>
      </c>
    </row>
    <row r="9">
      <c r="A9" s="60" t="s">
        <v>48</v>
      </c>
      <c r="B9" s="61">
        <f>SWITCH(SUM(B2:B8), 0, "", SUM(B2:B8))</f>
        <v>61</v>
      </c>
      <c r="C9" s="62">
        <f t="shared" ref="C9:F9" si="6">SWITCH($B$9, "", "", SUM(C$2:C$8))</f>
        <v>4</v>
      </c>
      <c r="D9" s="62">
        <f t="shared" si="6"/>
        <v>3</v>
      </c>
      <c r="E9" s="62">
        <f t="shared" si="6"/>
        <v>2</v>
      </c>
      <c r="F9" s="62">
        <f t="shared" si="6"/>
        <v>12</v>
      </c>
    </row>
    <row r="10">
      <c r="A10" s="59" t="s">
        <v>49</v>
      </c>
      <c r="B10" s="63"/>
      <c r="C10" s="64">
        <f t="shared" ref="C10:F10" si="7">SWITCH(C$9, "", "", C$9/$B$9)</f>
        <v>0.06557377049</v>
      </c>
      <c r="D10" s="64">
        <f t="shared" si="7"/>
        <v>0.04918032787</v>
      </c>
      <c r="E10" s="64">
        <f t="shared" si="7"/>
        <v>0.03278688525</v>
      </c>
      <c r="F10" s="64">
        <f t="shared" si="7"/>
        <v>0.1967213115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 t="str">
        <f t="array" ref="B2">INDIRECT("'"&amp;$A2&amp;"'!B$4")</f>
        <v/>
      </c>
      <c r="C2" s="53" t="str">
        <f t="array" ref="C2">INDIRECT("'"&amp;$A2&amp;"'!C$4")</f>
        <v/>
      </c>
      <c r="D2" s="53" t="str">
        <f t="shared" ref="D2:D8" si="1">INDIRECT("'"&amp;$A2&amp;"'!D$4")</f>
        <v/>
      </c>
      <c r="E2" s="53" t="str">
        <f t="shared" ref="E2:E8" si="2">INDIRECT("'"&amp;$A2&amp;"'!E$4")</f>
        <v/>
      </c>
      <c r="F2" s="54" t="str">
        <f t="shared" ref="F2:F8" si="3">INDIRECT("'"&amp;$A2&amp;"'!F$4")</f>
        <v/>
      </c>
      <c r="I2" s="65"/>
    </row>
    <row r="3">
      <c r="A3" s="55" t="s">
        <v>12</v>
      </c>
      <c r="B3" s="69"/>
      <c r="C3" s="70"/>
      <c r="D3" s="57" t="str">
        <f t="shared" si="1"/>
        <v/>
      </c>
      <c r="E3" s="57" t="str">
        <f t="shared" si="2"/>
        <v/>
      </c>
      <c r="F3" s="58" t="str">
        <f t="shared" si="3"/>
        <v/>
      </c>
      <c r="I3" s="65"/>
    </row>
    <row r="4">
      <c r="A4" s="55" t="s">
        <v>13</v>
      </c>
      <c r="B4" s="56" t="str">
        <f t="shared" ref="B4:B8" si="4">INDIRECT("'"&amp;$A4&amp;"'!B$4")</f>
        <v/>
      </c>
      <c r="C4" s="57" t="str">
        <f t="shared" ref="C4:C8" si="5">INDIRECT("'"&amp;$A4&amp;"'!C$4")</f>
        <v/>
      </c>
      <c r="D4" s="57" t="str">
        <f t="shared" si="1"/>
        <v/>
      </c>
      <c r="E4" s="57" t="str">
        <f t="shared" si="2"/>
        <v/>
      </c>
      <c r="F4" s="58" t="str">
        <f t="shared" si="3"/>
        <v/>
      </c>
      <c r="I4" s="65"/>
    </row>
    <row r="5">
      <c r="A5" s="55" t="s">
        <v>14</v>
      </c>
      <c r="B5" s="56" t="str">
        <f t="shared" si="4"/>
        <v/>
      </c>
      <c r="C5" s="57" t="str">
        <f t="shared" si="5"/>
        <v/>
      </c>
      <c r="D5" s="57" t="str">
        <f t="shared" si="1"/>
        <v/>
      </c>
      <c r="E5" s="57" t="str">
        <f t="shared" si="2"/>
        <v/>
      </c>
      <c r="F5" s="58" t="str">
        <f t="shared" si="3"/>
        <v/>
      </c>
      <c r="I5" s="65"/>
    </row>
    <row r="6">
      <c r="A6" s="55" t="s">
        <v>15</v>
      </c>
      <c r="B6" s="56" t="str">
        <f t="shared" si="4"/>
        <v/>
      </c>
      <c r="C6" s="57" t="str">
        <f t="shared" si="5"/>
        <v/>
      </c>
      <c r="D6" s="57" t="str">
        <f t="shared" si="1"/>
        <v/>
      </c>
      <c r="E6" s="57" t="str">
        <f t="shared" si="2"/>
        <v/>
      </c>
      <c r="F6" s="58" t="str">
        <f t="shared" si="3"/>
        <v/>
      </c>
      <c r="I6" s="65"/>
    </row>
    <row r="7">
      <c r="A7" s="55" t="s">
        <v>16</v>
      </c>
      <c r="B7" s="56" t="str">
        <f t="shared" si="4"/>
        <v/>
      </c>
      <c r="C7" s="57" t="str">
        <f t="shared" si="5"/>
        <v/>
      </c>
      <c r="D7" s="57" t="str">
        <f t="shared" si="1"/>
        <v/>
      </c>
      <c r="E7" s="57" t="str">
        <f t="shared" si="2"/>
        <v/>
      </c>
      <c r="F7" s="58" t="str">
        <f t="shared" si="3"/>
        <v/>
      </c>
      <c r="I7" s="65"/>
    </row>
    <row r="8">
      <c r="A8" s="59" t="s">
        <v>17</v>
      </c>
      <c r="B8" s="66" t="str">
        <f t="shared" si="4"/>
        <v/>
      </c>
      <c r="C8" s="67" t="str">
        <f t="shared" si="5"/>
        <v/>
      </c>
      <c r="D8" s="67" t="str">
        <f t="shared" si="1"/>
        <v/>
      </c>
      <c r="E8" s="67" t="str">
        <f t="shared" si="2"/>
        <v/>
      </c>
      <c r="F8" s="68" t="str">
        <f t="shared" si="3"/>
        <v/>
      </c>
    </row>
    <row r="9">
      <c r="A9" s="60" t="s">
        <v>48</v>
      </c>
      <c r="B9" s="61" t="str">
        <f>SWITCH(SUM(B2:B8), 0, "", SUM(B2:B8))</f>
        <v/>
      </c>
      <c r="C9" s="62" t="str">
        <f t="shared" ref="C9:F9" si="6">SWITCH($B$9, "", "", SUM(C$2:C$8))</f>
        <v/>
      </c>
      <c r="D9" s="62" t="str">
        <f t="shared" si="6"/>
        <v/>
      </c>
      <c r="E9" s="62" t="str">
        <f t="shared" si="6"/>
        <v/>
      </c>
      <c r="F9" s="62" t="str">
        <f t="shared" si="6"/>
        <v/>
      </c>
    </row>
    <row r="10">
      <c r="A10" s="59" t="s">
        <v>49</v>
      </c>
      <c r="B10" s="63"/>
      <c r="C10" s="64" t="str">
        <f t="shared" ref="C10:F10" si="7">SWITCH(C$9, "", "", C$9/$B$9)</f>
        <v/>
      </c>
      <c r="D10" s="64" t="str">
        <f t="shared" si="7"/>
        <v/>
      </c>
      <c r="E10" s="64" t="str">
        <f t="shared" si="7"/>
        <v/>
      </c>
      <c r="F10" s="64" t="str">
        <f t="shared" si="7"/>
        <v/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INDIRECT("'"&amp;$A2&amp;"'!B$5")</f>
        <v>8</v>
      </c>
      <c r="C2" s="53">
        <f t="shared" ref="C2:C8" si="2">INDIRECT("'"&amp;$A2&amp;"'!C$5")</f>
        <v>1</v>
      </c>
      <c r="D2" s="53">
        <f t="shared" ref="D2:D8" si="3">INDIRECT("'"&amp;$A2&amp;"'!D$5")</f>
        <v>1</v>
      </c>
      <c r="E2" s="53">
        <f t="shared" ref="E2:E8" si="4">INDIRECT("'"&amp;$A2&amp;"'!E$5")</f>
        <v>0</v>
      </c>
      <c r="F2" s="54">
        <f t="shared" ref="F2:F8" si="5">INDIRECT("'"&amp;$A2&amp;"'!F$5")</f>
        <v>1</v>
      </c>
      <c r="I2" s="65"/>
    </row>
    <row r="3">
      <c r="A3" s="55" t="s">
        <v>12</v>
      </c>
      <c r="B3" s="56">
        <f t="shared" si="1"/>
        <v>9</v>
      </c>
      <c r="C3" s="57">
        <f t="shared" si="2"/>
        <v>1</v>
      </c>
      <c r="D3" s="57">
        <f t="shared" si="3"/>
        <v>0</v>
      </c>
      <c r="E3" s="57">
        <f t="shared" si="4"/>
        <v>2</v>
      </c>
      <c r="F3" s="58">
        <f t="shared" si="5"/>
        <v>1</v>
      </c>
      <c r="I3" s="65"/>
    </row>
    <row r="4">
      <c r="A4" s="55" t="s">
        <v>13</v>
      </c>
      <c r="B4" s="56">
        <f t="shared" si="1"/>
        <v>14</v>
      </c>
      <c r="C4" s="57">
        <f t="shared" si="2"/>
        <v>1</v>
      </c>
      <c r="D4" s="57">
        <f t="shared" si="3"/>
        <v>2</v>
      </c>
      <c r="E4" s="57">
        <f t="shared" si="4"/>
        <v>1</v>
      </c>
      <c r="F4" s="58">
        <f t="shared" si="5"/>
        <v>0</v>
      </c>
      <c r="I4" s="65"/>
    </row>
    <row r="5">
      <c r="A5" s="55" t="s">
        <v>14</v>
      </c>
      <c r="B5" s="56">
        <f t="shared" si="1"/>
        <v>13</v>
      </c>
      <c r="C5" s="57">
        <f t="shared" si="2"/>
        <v>0</v>
      </c>
      <c r="D5" s="57">
        <f t="shared" si="3"/>
        <v>2</v>
      </c>
      <c r="E5" s="57">
        <f t="shared" si="4"/>
        <v>0</v>
      </c>
      <c r="F5" s="58">
        <f t="shared" si="5"/>
        <v>0</v>
      </c>
      <c r="I5" s="65"/>
    </row>
    <row r="6">
      <c r="A6" s="55" t="s">
        <v>15</v>
      </c>
      <c r="B6" s="56">
        <f t="shared" si="1"/>
        <v>10</v>
      </c>
      <c r="C6" s="57">
        <f t="shared" si="2"/>
        <v>1</v>
      </c>
      <c r="D6" s="57">
        <f t="shared" si="3"/>
        <v>3</v>
      </c>
      <c r="E6" s="57">
        <f t="shared" si="4"/>
        <v>0</v>
      </c>
      <c r="F6" s="58">
        <f t="shared" si="5"/>
        <v>0</v>
      </c>
      <c r="I6" s="65"/>
    </row>
    <row r="7">
      <c r="A7" s="55" t="s">
        <v>16</v>
      </c>
      <c r="B7" s="56">
        <f t="shared" si="1"/>
        <v>10</v>
      </c>
      <c r="C7" s="57">
        <f t="shared" si="2"/>
        <v>3</v>
      </c>
      <c r="D7" s="57">
        <f t="shared" si="3"/>
        <v>1</v>
      </c>
      <c r="E7" s="57">
        <f t="shared" si="4"/>
        <v>0</v>
      </c>
      <c r="F7" s="58">
        <f t="shared" si="5"/>
        <v>0</v>
      </c>
      <c r="I7" s="65"/>
    </row>
    <row r="8">
      <c r="A8" s="59" t="s">
        <v>17</v>
      </c>
      <c r="B8" s="66">
        <f t="shared" si="1"/>
        <v>5</v>
      </c>
      <c r="C8" s="67">
        <f t="shared" si="2"/>
        <v>0</v>
      </c>
      <c r="D8" s="67">
        <f t="shared" si="3"/>
        <v>0</v>
      </c>
      <c r="E8" s="67">
        <f t="shared" si="4"/>
        <v>0</v>
      </c>
      <c r="F8" s="68">
        <f t="shared" si="5"/>
        <v>1</v>
      </c>
    </row>
    <row r="9">
      <c r="A9" s="60" t="s">
        <v>48</v>
      </c>
      <c r="B9" s="61">
        <f>SWITCH(SUM(B2:B8), 0, "", SUM(B2:B8))</f>
        <v>69</v>
      </c>
      <c r="C9" s="62">
        <f t="shared" ref="C9:F9" si="6">SWITCH($B$9, "", "", SUM(C$2:C$8))</f>
        <v>7</v>
      </c>
      <c r="D9" s="62">
        <f t="shared" si="6"/>
        <v>9</v>
      </c>
      <c r="E9" s="62">
        <f t="shared" si="6"/>
        <v>3</v>
      </c>
      <c r="F9" s="62">
        <f t="shared" si="6"/>
        <v>3</v>
      </c>
    </row>
    <row r="10">
      <c r="A10" s="59" t="s">
        <v>49</v>
      </c>
      <c r="B10" s="63"/>
      <c r="C10" s="64">
        <f t="shared" ref="C10:F10" si="7">SWITCH(C$9, "", "", C$9/$B$9)</f>
        <v>0.1014492754</v>
      </c>
      <c r="D10" s="64">
        <f t="shared" si="7"/>
        <v>0.1304347826</v>
      </c>
      <c r="E10" s="64">
        <f t="shared" si="7"/>
        <v>0.04347826087</v>
      </c>
      <c r="F10" s="64">
        <f t="shared" si="7"/>
        <v>0.04347826087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INDIRECT("'"&amp;$A2&amp;"'!B$6")</f>
        <v>8</v>
      </c>
      <c r="C2" s="53">
        <f t="shared" ref="C2:C8" si="2">INDIRECT("'"&amp;$A2&amp;"'!C$6")</f>
        <v>0</v>
      </c>
      <c r="D2" s="53">
        <f t="shared" ref="D2:D8" si="3">INDIRECT("'"&amp;$A2&amp;"'!D$6")</f>
        <v>0</v>
      </c>
      <c r="E2" s="53">
        <f t="shared" ref="E2:E8" si="4">INDIRECT("'"&amp;$A2&amp;"'!E$6")</f>
        <v>0</v>
      </c>
      <c r="F2" s="54">
        <f t="shared" ref="F2:F8" si="5">INDIRECT("'"&amp;$A2&amp;"'!F$6")</f>
        <v>1</v>
      </c>
      <c r="I2" s="65"/>
    </row>
    <row r="3">
      <c r="A3" s="55" t="s">
        <v>12</v>
      </c>
      <c r="B3" s="56">
        <f t="shared" si="1"/>
        <v>9</v>
      </c>
      <c r="C3" s="57">
        <f t="shared" si="2"/>
        <v>0</v>
      </c>
      <c r="D3" s="57">
        <f t="shared" si="3"/>
        <v>0</v>
      </c>
      <c r="E3" s="57">
        <f t="shared" si="4"/>
        <v>1</v>
      </c>
      <c r="F3" s="58">
        <f t="shared" si="5"/>
        <v>2</v>
      </c>
      <c r="I3" s="65"/>
    </row>
    <row r="4">
      <c r="A4" s="55" t="s">
        <v>13</v>
      </c>
      <c r="B4" s="56">
        <f t="shared" si="1"/>
        <v>14</v>
      </c>
      <c r="C4" s="57">
        <f t="shared" si="2"/>
        <v>0</v>
      </c>
      <c r="D4" s="57">
        <f t="shared" si="3"/>
        <v>0</v>
      </c>
      <c r="E4" s="57">
        <f t="shared" si="4"/>
        <v>0</v>
      </c>
      <c r="F4" s="58">
        <f t="shared" si="5"/>
        <v>0</v>
      </c>
      <c r="I4" s="65"/>
    </row>
    <row r="5">
      <c r="A5" s="55" t="s">
        <v>14</v>
      </c>
      <c r="B5" s="56">
        <f t="shared" si="1"/>
        <v>10</v>
      </c>
      <c r="C5" s="57">
        <f t="shared" si="2"/>
        <v>1</v>
      </c>
      <c r="D5" s="57">
        <f t="shared" si="3"/>
        <v>0</v>
      </c>
      <c r="E5" s="57">
        <f t="shared" si="4"/>
        <v>0</v>
      </c>
      <c r="F5" s="58">
        <f t="shared" si="5"/>
        <v>0</v>
      </c>
      <c r="I5" s="65"/>
    </row>
    <row r="6">
      <c r="A6" s="55" t="s">
        <v>15</v>
      </c>
      <c r="B6" s="56">
        <f t="shared" si="1"/>
        <v>10</v>
      </c>
      <c r="C6" s="57">
        <f t="shared" si="2"/>
        <v>0</v>
      </c>
      <c r="D6" s="57">
        <f t="shared" si="3"/>
        <v>0</v>
      </c>
      <c r="E6" s="57">
        <f t="shared" si="4"/>
        <v>0</v>
      </c>
      <c r="F6" s="58">
        <f t="shared" si="5"/>
        <v>2</v>
      </c>
      <c r="I6" s="65"/>
    </row>
    <row r="7">
      <c r="A7" s="55" t="s">
        <v>16</v>
      </c>
      <c r="B7" s="56">
        <f t="shared" si="1"/>
        <v>9</v>
      </c>
      <c r="C7" s="57">
        <f t="shared" si="2"/>
        <v>0</v>
      </c>
      <c r="D7" s="57">
        <f t="shared" si="3"/>
        <v>0</v>
      </c>
      <c r="E7" s="57">
        <f t="shared" si="4"/>
        <v>0</v>
      </c>
      <c r="F7" s="58">
        <f t="shared" si="5"/>
        <v>1</v>
      </c>
      <c r="I7" s="65"/>
    </row>
    <row r="8">
      <c r="A8" s="59" t="s">
        <v>17</v>
      </c>
      <c r="B8" s="66">
        <f t="shared" si="1"/>
        <v>6</v>
      </c>
      <c r="C8" s="67">
        <f t="shared" si="2"/>
        <v>0</v>
      </c>
      <c r="D8" s="67">
        <f t="shared" si="3"/>
        <v>0</v>
      </c>
      <c r="E8" s="67">
        <f t="shared" si="4"/>
        <v>0</v>
      </c>
      <c r="F8" s="68">
        <f t="shared" si="5"/>
        <v>0</v>
      </c>
    </row>
    <row r="9">
      <c r="A9" s="60" t="s">
        <v>48</v>
      </c>
      <c r="B9" s="61">
        <f>SWITCH(SUM(B2:B8), 0, "", SUM(B2:B8))</f>
        <v>66</v>
      </c>
      <c r="C9" s="62">
        <f t="shared" ref="C9:F9" si="6">SWITCH($B$9, "", "", SUM(C$2:C$8))</f>
        <v>1</v>
      </c>
      <c r="D9" s="62">
        <f t="shared" si="6"/>
        <v>0</v>
      </c>
      <c r="E9" s="62">
        <f t="shared" si="6"/>
        <v>1</v>
      </c>
      <c r="F9" s="62">
        <f t="shared" si="6"/>
        <v>6</v>
      </c>
    </row>
    <row r="10">
      <c r="A10" s="59" t="s">
        <v>49</v>
      </c>
      <c r="B10" s="63"/>
      <c r="C10" s="64">
        <f t="shared" ref="C10:F10" si="7">SWITCH(C$9, "", "", C$9/$B$9)</f>
        <v>0.01515151515</v>
      </c>
      <c r="D10" s="64">
        <f t="shared" si="7"/>
        <v>0</v>
      </c>
      <c r="E10" s="64">
        <f t="shared" si="7"/>
        <v>0.01515151515</v>
      </c>
      <c r="F10" s="64">
        <f t="shared" si="7"/>
        <v>0.09090909091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 t="str">
        <f t="shared" ref="B2:B8" si="1">INDIRECT("'"&amp;$A2&amp;"'!B$7")</f>
        <v/>
      </c>
      <c r="C2" s="53" t="str">
        <f t="shared" ref="C2:C8" si="2">INDIRECT("'"&amp;$A2&amp;"'!C$7")</f>
        <v/>
      </c>
      <c r="D2" s="53" t="str">
        <f t="shared" ref="D2:D8" si="3">INDIRECT("'"&amp;$A2&amp;"'!D$7")</f>
        <v/>
      </c>
      <c r="E2" s="53" t="str">
        <f t="shared" ref="E2:E8" si="4">INDIRECT("'"&amp;$A2&amp;"'!E$7")</f>
        <v/>
      </c>
      <c r="F2" s="54" t="str">
        <f t="shared" ref="F2:F8" si="5">INDIRECT("'"&amp;$A2&amp;"'!F$7")</f>
        <v/>
      </c>
      <c r="I2" s="65"/>
    </row>
    <row r="3">
      <c r="A3" s="55" t="s">
        <v>12</v>
      </c>
      <c r="B3" s="56" t="str">
        <f t="shared" si="1"/>
        <v/>
      </c>
      <c r="C3" s="57" t="str">
        <f t="shared" si="2"/>
        <v/>
      </c>
      <c r="D3" s="57" t="str">
        <f t="shared" si="3"/>
        <v/>
      </c>
      <c r="E3" s="57" t="str">
        <f t="shared" si="4"/>
        <v/>
      </c>
      <c r="F3" s="58" t="str">
        <f t="shared" si="5"/>
        <v/>
      </c>
      <c r="I3" s="65"/>
    </row>
    <row r="4">
      <c r="A4" s="55" t="s">
        <v>13</v>
      </c>
      <c r="B4" s="56" t="str">
        <f t="shared" si="1"/>
        <v/>
      </c>
      <c r="C4" s="57" t="str">
        <f t="shared" si="2"/>
        <v/>
      </c>
      <c r="D4" s="57" t="str">
        <f t="shared" si="3"/>
        <v/>
      </c>
      <c r="E4" s="57" t="str">
        <f t="shared" si="4"/>
        <v/>
      </c>
      <c r="F4" s="58" t="str">
        <f t="shared" si="5"/>
        <v/>
      </c>
      <c r="I4" s="65"/>
    </row>
    <row r="5">
      <c r="A5" s="55" t="s">
        <v>14</v>
      </c>
      <c r="B5" s="56">
        <f t="shared" si="1"/>
        <v>9</v>
      </c>
      <c r="C5" s="57">
        <f t="shared" si="2"/>
        <v>0</v>
      </c>
      <c r="D5" s="57">
        <f t="shared" si="3"/>
        <v>2</v>
      </c>
      <c r="E5" s="57">
        <f t="shared" si="4"/>
        <v>1</v>
      </c>
      <c r="F5" s="58">
        <f t="shared" si="5"/>
        <v>0</v>
      </c>
      <c r="I5" s="65"/>
    </row>
    <row r="6">
      <c r="A6" s="55" t="s">
        <v>15</v>
      </c>
      <c r="B6" s="56">
        <f t="shared" si="1"/>
        <v>7</v>
      </c>
      <c r="C6" s="57">
        <f t="shared" si="2"/>
        <v>0</v>
      </c>
      <c r="D6" s="57">
        <f t="shared" si="3"/>
        <v>1</v>
      </c>
      <c r="E6" s="57">
        <f t="shared" si="4"/>
        <v>2</v>
      </c>
      <c r="F6" s="58">
        <f t="shared" si="5"/>
        <v>1</v>
      </c>
      <c r="I6" s="65"/>
    </row>
    <row r="7">
      <c r="A7" s="55" t="s">
        <v>16</v>
      </c>
      <c r="B7" s="56">
        <f t="shared" si="1"/>
        <v>7</v>
      </c>
      <c r="C7" s="57">
        <f t="shared" si="2"/>
        <v>0</v>
      </c>
      <c r="D7" s="57">
        <f t="shared" si="3"/>
        <v>0</v>
      </c>
      <c r="E7" s="57">
        <f t="shared" si="4"/>
        <v>1</v>
      </c>
      <c r="F7" s="58">
        <f t="shared" si="5"/>
        <v>0</v>
      </c>
      <c r="I7" s="65"/>
    </row>
    <row r="8">
      <c r="A8" s="59" t="s">
        <v>17</v>
      </c>
      <c r="B8" s="66">
        <f t="shared" si="1"/>
        <v>5</v>
      </c>
      <c r="C8" s="67">
        <f t="shared" si="2"/>
        <v>0</v>
      </c>
      <c r="D8" s="67">
        <f t="shared" si="3"/>
        <v>0</v>
      </c>
      <c r="E8" s="67">
        <f t="shared" si="4"/>
        <v>0</v>
      </c>
      <c r="F8" s="68">
        <f t="shared" si="5"/>
        <v>1</v>
      </c>
    </row>
    <row r="9">
      <c r="A9" s="60" t="s">
        <v>48</v>
      </c>
      <c r="B9" s="61">
        <f>SWITCH(SUM(B2:B8), 0, "", SUM(B2:B8))</f>
        <v>28</v>
      </c>
      <c r="C9" s="62">
        <f t="shared" ref="C9:F9" si="6">SWITCH($B$9, "", "", SUM(C$2:C$8))</f>
        <v>0</v>
      </c>
      <c r="D9" s="62">
        <f t="shared" si="6"/>
        <v>3</v>
      </c>
      <c r="E9" s="62">
        <f t="shared" si="6"/>
        <v>4</v>
      </c>
      <c r="F9" s="62">
        <f t="shared" si="6"/>
        <v>2</v>
      </c>
    </row>
    <row r="10">
      <c r="A10" s="59" t="s">
        <v>49</v>
      </c>
      <c r="B10" s="63"/>
      <c r="C10" s="64">
        <f t="shared" ref="C10:F10" si="7">SWITCH(C$9, "", "", C$9/$B$9)</f>
        <v>0</v>
      </c>
      <c r="D10" s="64">
        <f t="shared" si="7"/>
        <v>0.1071428571</v>
      </c>
      <c r="E10" s="64">
        <f t="shared" si="7"/>
        <v>0.1428571429</v>
      </c>
      <c r="F10" s="64">
        <f t="shared" si="7"/>
        <v>0.07142857143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INDIRECT("'"&amp;$A2&amp;"'!B$8")</f>
        <v>7</v>
      </c>
      <c r="C2" s="53">
        <f t="shared" ref="C2:C8" si="2">INDIRECT("'"&amp;$A2&amp;"'!C$8")</f>
        <v>1</v>
      </c>
      <c r="D2" s="53">
        <f t="shared" ref="D2:D8" si="3">INDIRECT("'"&amp;$A2&amp;"'!D$8")</f>
        <v>1</v>
      </c>
      <c r="E2" s="53">
        <f t="shared" ref="E2:E8" si="4">INDIRECT("'"&amp;$A2&amp;"'!E$8")</f>
        <v>0</v>
      </c>
      <c r="F2" s="54">
        <f t="shared" ref="F2:F8" si="5">INDIRECT("'"&amp;$A2&amp;"'!F$8")</f>
        <v>4</v>
      </c>
      <c r="I2" s="65"/>
    </row>
    <row r="3">
      <c r="A3" s="55" t="s">
        <v>12</v>
      </c>
      <c r="B3" s="56">
        <f t="shared" si="1"/>
        <v>7</v>
      </c>
      <c r="C3" s="57">
        <f t="shared" si="2"/>
        <v>3</v>
      </c>
      <c r="D3" s="57">
        <f t="shared" si="3"/>
        <v>1</v>
      </c>
      <c r="E3" s="57">
        <f t="shared" si="4"/>
        <v>0</v>
      </c>
      <c r="F3" s="58">
        <f t="shared" si="5"/>
        <v>0</v>
      </c>
      <c r="I3" s="65"/>
    </row>
    <row r="4">
      <c r="A4" s="55" t="s">
        <v>13</v>
      </c>
      <c r="B4" s="56">
        <f t="shared" si="1"/>
        <v>8</v>
      </c>
      <c r="C4" s="57">
        <f t="shared" si="2"/>
        <v>2</v>
      </c>
      <c r="D4" s="57">
        <f t="shared" si="3"/>
        <v>0</v>
      </c>
      <c r="E4" s="57">
        <f t="shared" si="4"/>
        <v>1</v>
      </c>
      <c r="F4" s="58">
        <f t="shared" si="5"/>
        <v>2</v>
      </c>
      <c r="I4" s="65"/>
    </row>
    <row r="5">
      <c r="A5" s="55" t="s">
        <v>14</v>
      </c>
      <c r="B5" s="56">
        <f t="shared" si="1"/>
        <v>6</v>
      </c>
      <c r="C5" s="57">
        <f t="shared" si="2"/>
        <v>0</v>
      </c>
      <c r="D5" s="57">
        <f t="shared" si="3"/>
        <v>0</v>
      </c>
      <c r="E5" s="57">
        <f t="shared" si="4"/>
        <v>0</v>
      </c>
      <c r="F5" s="58">
        <f t="shared" si="5"/>
        <v>1</v>
      </c>
      <c r="I5" s="65"/>
    </row>
    <row r="6">
      <c r="A6" s="55" t="s">
        <v>15</v>
      </c>
      <c r="B6" s="56">
        <f t="shared" si="1"/>
        <v>6</v>
      </c>
      <c r="C6" s="57">
        <f t="shared" si="2"/>
        <v>0</v>
      </c>
      <c r="D6" s="57">
        <f t="shared" si="3"/>
        <v>0</v>
      </c>
      <c r="E6" s="57">
        <f t="shared" si="4"/>
        <v>0</v>
      </c>
      <c r="F6" s="58">
        <f t="shared" si="5"/>
        <v>1</v>
      </c>
      <c r="I6" s="65"/>
    </row>
    <row r="7">
      <c r="A7" s="55" t="s">
        <v>16</v>
      </c>
      <c r="B7" s="56">
        <f t="shared" si="1"/>
        <v>3</v>
      </c>
      <c r="C7" s="57">
        <f t="shared" si="2"/>
        <v>0</v>
      </c>
      <c r="D7" s="57">
        <f t="shared" si="3"/>
        <v>1</v>
      </c>
      <c r="E7" s="57">
        <f t="shared" si="4"/>
        <v>0</v>
      </c>
      <c r="F7" s="58">
        <f t="shared" si="5"/>
        <v>0</v>
      </c>
      <c r="I7" s="65"/>
    </row>
    <row r="8">
      <c r="A8" s="59" t="s">
        <v>17</v>
      </c>
      <c r="B8" s="66" t="str">
        <f t="shared" si="1"/>
        <v/>
      </c>
      <c r="C8" s="67" t="str">
        <f t="shared" si="2"/>
        <v/>
      </c>
      <c r="D8" s="67" t="str">
        <f t="shared" si="3"/>
        <v/>
      </c>
      <c r="E8" s="67" t="str">
        <f t="shared" si="4"/>
        <v/>
      </c>
      <c r="F8" s="68" t="str">
        <f t="shared" si="5"/>
        <v/>
      </c>
    </row>
    <row r="9">
      <c r="A9" s="60" t="s">
        <v>48</v>
      </c>
      <c r="B9" s="61">
        <f>SWITCH(SUM(B2:B8), 0, "", SUM(B2:B8))</f>
        <v>37</v>
      </c>
      <c r="C9" s="62">
        <f t="shared" ref="C9:F9" si="6">SWITCH($B$9, "", "", SUM(C$2:C$8))</f>
        <v>6</v>
      </c>
      <c r="D9" s="62">
        <f t="shared" si="6"/>
        <v>3</v>
      </c>
      <c r="E9" s="62">
        <f t="shared" si="6"/>
        <v>1</v>
      </c>
      <c r="F9" s="62">
        <f t="shared" si="6"/>
        <v>8</v>
      </c>
    </row>
    <row r="10">
      <c r="A10" s="59" t="s">
        <v>49</v>
      </c>
      <c r="B10" s="63"/>
      <c r="C10" s="64">
        <f t="shared" ref="C10:F10" si="7">SWITCH(C$9, "", "", C$9/$B$9)</f>
        <v>0.1621621622</v>
      </c>
      <c r="D10" s="64">
        <f t="shared" si="7"/>
        <v>0.08108108108</v>
      </c>
      <c r="E10" s="64">
        <f t="shared" si="7"/>
        <v>0.02702702703</v>
      </c>
      <c r="F10" s="64">
        <f t="shared" si="7"/>
        <v>0.2162162162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INDIRECT("'"&amp;$A2&amp;"'!B$9")</f>
        <v>3</v>
      </c>
      <c r="C2" s="53">
        <f t="shared" ref="C2:C8" si="2">INDIRECT("'"&amp;$A2&amp;"'!C$9")</f>
        <v>0</v>
      </c>
      <c r="D2" s="53">
        <f t="shared" ref="D2:D8" si="3">INDIRECT("'"&amp;$A2&amp;"'!D$9")</f>
        <v>2</v>
      </c>
      <c r="E2" s="53">
        <f t="shared" ref="E2:E8" si="4">INDIRECT("'"&amp;$A2&amp;"'!E$9")</f>
        <v>0</v>
      </c>
      <c r="F2" s="54">
        <f t="shared" ref="F2:F8" si="5">INDIRECT("'"&amp;$A2&amp;"'!F$9")</f>
        <v>0</v>
      </c>
      <c r="I2" s="65"/>
    </row>
    <row r="3">
      <c r="A3" s="55" t="s">
        <v>12</v>
      </c>
      <c r="B3" s="56">
        <f t="shared" si="1"/>
        <v>6</v>
      </c>
      <c r="C3" s="57">
        <f t="shared" si="2"/>
        <v>0</v>
      </c>
      <c r="D3" s="57">
        <f t="shared" si="3"/>
        <v>1</v>
      </c>
      <c r="E3" s="57">
        <f t="shared" si="4"/>
        <v>0</v>
      </c>
      <c r="F3" s="58">
        <f t="shared" si="5"/>
        <v>0</v>
      </c>
      <c r="I3" s="65"/>
    </row>
    <row r="4">
      <c r="A4" s="55" t="s">
        <v>13</v>
      </c>
      <c r="B4" s="56">
        <f t="shared" si="1"/>
        <v>9</v>
      </c>
      <c r="C4" s="57">
        <f t="shared" si="2"/>
        <v>1</v>
      </c>
      <c r="D4" s="57">
        <f t="shared" si="3"/>
        <v>0</v>
      </c>
      <c r="E4" s="57">
        <f t="shared" si="4"/>
        <v>0</v>
      </c>
      <c r="F4" s="58">
        <f t="shared" si="5"/>
        <v>3</v>
      </c>
      <c r="I4" s="65"/>
    </row>
    <row r="5">
      <c r="A5" s="55" t="s">
        <v>14</v>
      </c>
      <c r="B5" s="56">
        <f t="shared" si="1"/>
        <v>6</v>
      </c>
      <c r="C5" s="57">
        <f t="shared" si="2"/>
        <v>0</v>
      </c>
      <c r="D5" s="57">
        <f t="shared" si="3"/>
        <v>0</v>
      </c>
      <c r="E5" s="57">
        <f t="shared" si="4"/>
        <v>0</v>
      </c>
      <c r="F5" s="58">
        <f t="shared" si="5"/>
        <v>3</v>
      </c>
      <c r="I5" s="65"/>
    </row>
    <row r="6">
      <c r="A6" s="55" t="s">
        <v>15</v>
      </c>
      <c r="B6" s="56">
        <f t="shared" si="1"/>
        <v>5</v>
      </c>
      <c r="C6" s="57">
        <f t="shared" si="2"/>
        <v>0</v>
      </c>
      <c r="D6" s="57">
        <f t="shared" si="3"/>
        <v>0</v>
      </c>
      <c r="E6" s="57">
        <f t="shared" si="4"/>
        <v>0</v>
      </c>
      <c r="F6" s="58">
        <f t="shared" si="5"/>
        <v>1</v>
      </c>
      <c r="I6" s="65"/>
    </row>
    <row r="7">
      <c r="A7" s="55" t="s">
        <v>16</v>
      </c>
      <c r="B7" s="56">
        <f t="shared" si="1"/>
        <v>5</v>
      </c>
      <c r="C7" s="57">
        <f t="shared" si="2"/>
        <v>0</v>
      </c>
      <c r="D7" s="57">
        <f t="shared" si="3"/>
        <v>0</v>
      </c>
      <c r="E7" s="57">
        <f t="shared" si="4"/>
        <v>0</v>
      </c>
      <c r="F7" s="58">
        <f t="shared" si="5"/>
        <v>1</v>
      </c>
      <c r="I7" s="65"/>
    </row>
    <row r="8">
      <c r="A8" s="59" t="s">
        <v>17</v>
      </c>
      <c r="B8" s="66">
        <f t="shared" si="1"/>
        <v>5</v>
      </c>
      <c r="C8" s="67">
        <f t="shared" si="2"/>
        <v>1</v>
      </c>
      <c r="D8" s="67">
        <f t="shared" si="3"/>
        <v>0</v>
      </c>
      <c r="E8" s="67">
        <f t="shared" si="4"/>
        <v>0</v>
      </c>
      <c r="F8" s="68">
        <f t="shared" si="5"/>
        <v>0</v>
      </c>
    </row>
    <row r="9">
      <c r="A9" s="60" t="s">
        <v>48</v>
      </c>
      <c r="B9" s="61">
        <f>SWITCH(SUM(B2:B8), 0, "", SUM(B2:B8))</f>
        <v>39</v>
      </c>
      <c r="C9" s="62">
        <f t="shared" ref="C9:F9" si="6">SWITCH($B$9, "", "", SUM(C$2:C$8))</f>
        <v>2</v>
      </c>
      <c r="D9" s="62">
        <f t="shared" si="6"/>
        <v>3</v>
      </c>
      <c r="E9" s="62">
        <f t="shared" si="6"/>
        <v>0</v>
      </c>
      <c r="F9" s="62">
        <f t="shared" si="6"/>
        <v>8</v>
      </c>
    </row>
    <row r="10">
      <c r="A10" s="59" t="s">
        <v>49</v>
      </c>
      <c r="B10" s="63"/>
      <c r="C10" s="64">
        <f t="shared" ref="C10:F10" si="7">SWITCH(C$9, "", "", C$9/$B$9)</f>
        <v>0.05128205128</v>
      </c>
      <c r="D10" s="64">
        <f t="shared" si="7"/>
        <v>0.07692307692</v>
      </c>
      <c r="E10" s="64">
        <f t="shared" si="7"/>
        <v>0</v>
      </c>
      <c r="F10" s="64">
        <f t="shared" si="7"/>
        <v>0.2051282051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INDIRECT("'"&amp;$A2&amp;"'!B$10")</f>
        <v>6</v>
      </c>
      <c r="C2" s="53">
        <f t="shared" ref="C2:C8" si="2">INDIRECT("'"&amp;$A2&amp;"'!C$10")</f>
        <v>0</v>
      </c>
      <c r="D2" s="53">
        <f t="shared" ref="D2:D8" si="3">INDIRECT("'"&amp;$A2&amp;"'!D$10")</f>
        <v>0</v>
      </c>
      <c r="E2" s="53">
        <f t="shared" ref="E2:E8" si="4">INDIRECT("'"&amp;$A2&amp;"'!E$10")</f>
        <v>0</v>
      </c>
      <c r="F2" s="54">
        <f t="shared" ref="F2:F8" si="5">INDIRECT("'"&amp;$A2&amp;"'!F$10")</f>
        <v>0</v>
      </c>
      <c r="I2" s="65"/>
    </row>
    <row r="3">
      <c r="A3" s="55" t="s">
        <v>12</v>
      </c>
      <c r="B3" s="56">
        <f t="shared" si="1"/>
        <v>7</v>
      </c>
      <c r="C3" s="57">
        <f t="shared" si="2"/>
        <v>1</v>
      </c>
      <c r="D3" s="57">
        <f t="shared" si="3"/>
        <v>2</v>
      </c>
      <c r="E3" s="57">
        <f t="shared" si="4"/>
        <v>0</v>
      </c>
      <c r="F3" s="58">
        <f t="shared" si="5"/>
        <v>0</v>
      </c>
      <c r="I3" s="65"/>
    </row>
    <row r="4">
      <c r="A4" s="55" t="s">
        <v>13</v>
      </c>
      <c r="B4" s="56">
        <f t="shared" si="1"/>
        <v>11</v>
      </c>
      <c r="C4" s="57">
        <f t="shared" si="2"/>
        <v>1</v>
      </c>
      <c r="D4" s="57">
        <f t="shared" si="3"/>
        <v>0</v>
      </c>
      <c r="E4" s="57">
        <f t="shared" si="4"/>
        <v>1</v>
      </c>
      <c r="F4" s="58">
        <f t="shared" si="5"/>
        <v>4</v>
      </c>
      <c r="I4" s="65"/>
    </row>
    <row r="5">
      <c r="A5" s="55" t="s">
        <v>14</v>
      </c>
      <c r="B5" s="56">
        <f t="shared" si="1"/>
        <v>11</v>
      </c>
      <c r="C5" s="57">
        <f t="shared" si="2"/>
        <v>2</v>
      </c>
      <c r="D5" s="57">
        <f t="shared" si="3"/>
        <v>1</v>
      </c>
      <c r="E5" s="57">
        <f t="shared" si="4"/>
        <v>0</v>
      </c>
      <c r="F5" s="58">
        <f t="shared" si="5"/>
        <v>0</v>
      </c>
      <c r="I5" s="65"/>
    </row>
    <row r="6">
      <c r="A6" s="55" t="s">
        <v>15</v>
      </c>
      <c r="B6" s="56">
        <f t="shared" si="1"/>
        <v>7</v>
      </c>
      <c r="C6" s="57">
        <f t="shared" si="2"/>
        <v>1</v>
      </c>
      <c r="D6" s="57">
        <f t="shared" si="3"/>
        <v>0</v>
      </c>
      <c r="E6" s="57">
        <f t="shared" si="4"/>
        <v>0</v>
      </c>
      <c r="F6" s="58">
        <f t="shared" si="5"/>
        <v>1</v>
      </c>
      <c r="I6" s="65"/>
    </row>
    <row r="7">
      <c r="A7" s="55" t="s">
        <v>16</v>
      </c>
      <c r="B7" s="56">
        <f t="shared" si="1"/>
        <v>8</v>
      </c>
      <c r="C7" s="57">
        <f t="shared" si="2"/>
        <v>1</v>
      </c>
      <c r="D7" s="57">
        <f t="shared" si="3"/>
        <v>0</v>
      </c>
      <c r="E7" s="57">
        <f t="shared" si="4"/>
        <v>0</v>
      </c>
      <c r="F7" s="58">
        <f t="shared" si="5"/>
        <v>0</v>
      </c>
      <c r="I7" s="65"/>
    </row>
    <row r="8">
      <c r="A8" s="59" t="s">
        <v>17</v>
      </c>
      <c r="B8" s="66">
        <f t="shared" si="1"/>
        <v>5</v>
      </c>
      <c r="C8" s="67">
        <f t="shared" si="2"/>
        <v>0</v>
      </c>
      <c r="D8" s="67">
        <f t="shared" si="3"/>
        <v>1</v>
      </c>
      <c r="E8" s="67">
        <f t="shared" si="4"/>
        <v>0</v>
      </c>
      <c r="F8" s="68">
        <f t="shared" si="5"/>
        <v>0</v>
      </c>
    </row>
    <row r="9">
      <c r="A9" s="60" t="s">
        <v>48</v>
      </c>
      <c r="B9" s="61">
        <f>SWITCH(SUM(B2:B8), 0, "", SUM(B2:B8))</f>
        <v>55</v>
      </c>
      <c r="C9" s="62">
        <f t="shared" ref="C9:F9" si="6">SWITCH($B$9, "", "", SUM(C$2:C$8))</f>
        <v>6</v>
      </c>
      <c r="D9" s="62">
        <f t="shared" si="6"/>
        <v>4</v>
      </c>
      <c r="E9" s="62">
        <f t="shared" si="6"/>
        <v>1</v>
      </c>
      <c r="F9" s="62">
        <f t="shared" si="6"/>
        <v>5</v>
      </c>
    </row>
    <row r="10">
      <c r="A10" s="59" t="s">
        <v>49</v>
      </c>
      <c r="B10" s="63"/>
      <c r="C10" s="64">
        <f t="shared" ref="C10:F10" si="7">SWITCH(C$9, "", "", C$9/$B$9)</f>
        <v>0.1090909091</v>
      </c>
      <c r="D10" s="64">
        <f t="shared" si="7"/>
        <v>0.07272727273</v>
      </c>
      <c r="E10" s="64">
        <f t="shared" si="7"/>
        <v>0.01818181818</v>
      </c>
      <c r="F10" s="64">
        <f t="shared" si="7"/>
        <v>0.09090909091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 t="str">
        <f t="shared" ref="B2:B8" si="1">INDIRECT("'"&amp;$A2&amp;"'!B$11")</f>
        <v/>
      </c>
      <c r="C2" s="53" t="str">
        <f t="shared" ref="C2:C8" si="2">INDIRECT("'"&amp;$A2&amp;"'!C$11")</f>
        <v/>
      </c>
      <c r="D2" s="53" t="str">
        <f t="shared" ref="D2:D8" si="3">INDIRECT("'"&amp;$A2&amp;"'!D$11")</f>
        <v/>
      </c>
      <c r="E2" s="53" t="str">
        <f t="shared" ref="E2:E8" si="4">INDIRECT("'"&amp;$A2&amp;"'!E$11")</f>
        <v/>
      </c>
      <c r="F2" s="54" t="str">
        <f t="shared" ref="F2:F8" si="5">INDIRECT("'"&amp;$A2&amp;"'!F$11")</f>
        <v/>
      </c>
      <c r="I2" s="65"/>
    </row>
    <row r="3">
      <c r="A3" s="55" t="s">
        <v>12</v>
      </c>
      <c r="B3" s="56" t="str">
        <f t="shared" si="1"/>
        <v/>
      </c>
      <c r="C3" s="57" t="str">
        <f t="shared" si="2"/>
        <v/>
      </c>
      <c r="D3" s="57" t="str">
        <f t="shared" si="3"/>
        <v/>
      </c>
      <c r="E3" s="57" t="str">
        <f t="shared" si="4"/>
        <v/>
      </c>
      <c r="F3" s="58" t="str">
        <f t="shared" si="5"/>
        <v/>
      </c>
      <c r="I3" s="65"/>
    </row>
    <row r="4">
      <c r="A4" s="55" t="s">
        <v>13</v>
      </c>
      <c r="B4" s="56" t="str">
        <f t="shared" si="1"/>
        <v/>
      </c>
      <c r="C4" s="57" t="str">
        <f t="shared" si="2"/>
        <v/>
      </c>
      <c r="D4" s="57" t="str">
        <f t="shared" si="3"/>
        <v/>
      </c>
      <c r="E4" s="57" t="str">
        <f t="shared" si="4"/>
        <v/>
      </c>
      <c r="F4" s="58" t="str">
        <f t="shared" si="5"/>
        <v/>
      </c>
      <c r="I4" s="65"/>
    </row>
    <row r="5">
      <c r="A5" s="55" t="s">
        <v>14</v>
      </c>
      <c r="B5" s="56">
        <f t="shared" si="1"/>
        <v>5</v>
      </c>
      <c r="C5" s="57">
        <f t="shared" si="2"/>
        <v>0</v>
      </c>
      <c r="D5" s="57">
        <f t="shared" si="3"/>
        <v>2</v>
      </c>
      <c r="E5" s="57">
        <f t="shared" si="4"/>
        <v>0</v>
      </c>
      <c r="F5" s="58">
        <f t="shared" si="5"/>
        <v>2</v>
      </c>
      <c r="I5" s="65"/>
    </row>
    <row r="6">
      <c r="A6" s="55" t="s">
        <v>15</v>
      </c>
      <c r="B6" s="56">
        <f t="shared" si="1"/>
        <v>5</v>
      </c>
      <c r="C6" s="57">
        <f t="shared" si="2"/>
        <v>0</v>
      </c>
      <c r="D6" s="57">
        <f t="shared" si="3"/>
        <v>1</v>
      </c>
      <c r="E6" s="57">
        <f t="shared" si="4"/>
        <v>0</v>
      </c>
      <c r="F6" s="58">
        <f t="shared" si="5"/>
        <v>0</v>
      </c>
      <c r="I6" s="65"/>
    </row>
    <row r="7">
      <c r="A7" s="55" t="s">
        <v>16</v>
      </c>
      <c r="B7" s="56">
        <f t="shared" si="1"/>
        <v>7</v>
      </c>
      <c r="C7" s="57">
        <f t="shared" si="2"/>
        <v>0</v>
      </c>
      <c r="D7" s="57">
        <f t="shared" si="3"/>
        <v>1</v>
      </c>
      <c r="E7" s="57">
        <f t="shared" si="4"/>
        <v>1</v>
      </c>
      <c r="F7" s="58">
        <f t="shared" si="5"/>
        <v>0</v>
      </c>
      <c r="I7" s="65"/>
    </row>
    <row r="8">
      <c r="A8" s="59" t="s">
        <v>17</v>
      </c>
      <c r="B8" s="66">
        <f t="shared" si="1"/>
        <v>4</v>
      </c>
      <c r="C8" s="67">
        <f t="shared" si="2"/>
        <v>0</v>
      </c>
      <c r="D8" s="67">
        <f t="shared" si="3"/>
        <v>0</v>
      </c>
      <c r="E8" s="67">
        <f t="shared" si="4"/>
        <v>0</v>
      </c>
      <c r="F8" s="68">
        <f t="shared" si="5"/>
        <v>0</v>
      </c>
    </row>
    <row r="9">
      <c r="A9" s="60" t="s">
        <v>48</v>
      </c>
      <c r="B9" s="61">
        <f>SWITCH(SUM(B2:B8), 0, "", SUM(B2:B8))</f>
        <v>21</v>
      </c>
      <c r="C9" s="62">
        <f t="shared" ref="C9:F9" si="6">SWITCH($B$9, "", "", SUM(C$2:C$8))</f>
        <v>0</v>
      </c>
      <c r="D9" s="62">
        <f t="shared" si="6"/>
        <v>4</v>
      </c>
      <c r="E9" s="62">
        <f t="shared" si="6"/>
        <v>1</v>
      </c>
      <c r="F9" s="62">
        <f t="shared" si="6"/>
        <v>2</v>
      </c>
    </row>
    <row r="10">
      <c r="A10" s="59" t="s">
        <v>49</v>
      </c>
      <c r="B10" s="63"/>
      <c r="C10" s="64">
        <f t="shared" ref="C10:F10" si="7">SWITCH(C$9, "", "", C$9/$B$9)</f>
        <v>0</v>
      </c>
      <c r="D10" s="64">
        <f t="shared" si="7"/>
        <v>0.1904761905</v>
      </c>
      <c r="E10" s="64">
        <f t="shared" si="7"/>
        <v>0.04761904762</v>
      </c>
      <c r="F10" s="64">
        <f t="shared" si="7"/>
        <v>0.09523809524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 t="str">
        <f t="shared" ref="B2:B8" si="1">INDIRECT("'"&amp;$A2&amp;"'!B$12")</f>
        <v/>
      </c>
      <c r="C2" s="53" t="str">
        <f t="shared" ref="C2:C8" si="2">INDIRECT("'"&amp;$A2&amp;"'!C$12")</f>
        <v/>
      </c>
      <c r="D2" s="53" t="str">
        <f t="shared" ref="D2:D8" si="3">INDIRECT("'"&amp;$A2&amp;"'!D$12")</f>
        <v/>
      </c>
      <c r="E2" s="53" t="str">
        <f t="shared" ref="E2:E8" si="4">INDIRECT("'"&amp;$A2&amp;"'!E$12")</f>
        <v/>
      </c>
      <c r="F2" s="54" t="str">
        <f t="shared" ref="F2:F8" si="5">INDIRECT("'"&amp;$A2&amp;"'!F$12")</f>
        <v/>
      </c>
      <c r="I2" s="65"/>
    </row>
    <row r="3">
      <c r="A3" s="55" t="s">
        <v>12</v>
      </c>
      <c r="B3" s="56" t="str">
        <f t="shared" si="1"/>
        <v/>
      </c>
      <c r="C3" s="57" t="str">
        <f t="shared" si="2"/>
        <v/>
      </c>
      <c r="D3" s="57" t="str">
        <f t="shared" si="3"/>
        <v/>
      </c>
      <c r="E3" s="57" t="str">
        <f t="shared" si="4"/>
        <v/>
      </c>
      <c r="F3" s="58" t="str">
        <f t="shared" si="5"/>
        <v/>
      </c>
      <c r="I3" s="65"/>
    </row>
    <row r="4">
      <c r="A4" s="55" t="s">
        <v>13</v>
      </c>
      <c r="B4" s="56" t="str">
        <f t="shared" si="1"/>
        <v/>
      </c>
      <c r="C4" s="57" t="str">
        <f t="shared" si="2"/>
        <v/>
      </c>
      <c r="D4" s="57" t="str">
        <f t="shared" si="3"/>
        <v/>
      </c>
      <c r="E4" s="57" t="str">
        <f t="shared" si="4"/>
        <v/>
      </c>
      <c r="F4" s="58" t="str">
        <f t="shared" si="5"/>
        <v/>
      </c>
      <c r="I4" s="65"/>
    </row>
    <row r="5">
      <c r="A5" s="55" t="s">
        <v>14</v>
      </c>
      <c r="B5" s="56" t="str">
        <f t="shared" si="1"/>
        <v/>
      </c>
      <c r="C5" s="57" t="str">
        <f t="shared" si="2"/>
        <v/>
      </c>
      <c r="D5" s="57" t="str">
        <f t="shared" si="3"/>
        <v/>
      </c>
      <c r="E5" s="57" t="str">
        <f t="shared" si="4"/>
        <v/>
      </c>
      <c r="F5" s="58" t="str">
        <f t="shared" si="5"/>
        <v/>
      </c>
      <c r="I5" s="65"/>
    </row>
    <row r="6">
      <c r="A6" s="55" t="s">
        <v>15</v>
      </c>
      <c r="B6" s="56" t="str">
        <f t="shared" si="1"/>
        <v/>
      </c>
      <c r="C6" s="57" t="str">
        <f t="shared" si="2"/>
        <v/>
      </c>
      <c r="D6" s="57" t="str">
        <f t="shared" si="3"/>
        <v/>
      </c>
      <c r="E6" s="57" t="str">
        <f t="shared" si="4"/>
        <v/>
      </c>
      <c r="F6" s="58" t="str">
        <f t="shared" si="5"/>
        <v/>
      </c>
      <c r="I6" s="65"/>
    </row>
    <row r="7">
      <c r="A7" s="55" t="s">
        <v>16</v>
      </c>
      <c r="B7" s="56" t="str">
        <f t="shared" si="1"/>
        <v/>
      </c>
      <c r="C7" s="57" t="str">
        <f t="shared" si="2"/>
        <v/>
      </c>
      <c r="D7" s="57" t="str">
        <f t="shared" si="3"/>
        <v/>
      </c>
      <c r="E7" s="57" t="str">
        <f t="shared" si="4"/>
        <v/>
      </c>
      <c r="F7" s="58" t="str">
        <f t="shared" si="5"/>
        <v/>
      </c>
      <c r="I7" s="65"/>
    </row>
    <row r="8">
      <c r="A8" s="59" t="s">
        <v>17</v>
      </c>
      <c r="B8" s="66" t="str">
        <f t="shared" si="1"/>
        <v/>
      </c>
      <c r="C8" s="67" t="str">
        <f t="shared" si="2"/>
        <v/>
      </c>
      <c r="D8" s="67" t="str">
        <f t="shared" si="3"/>
        <v/>
      </c>
      <c r="E8" s="67" t="str">
        <f t="shared" si="4"/>
        <v/>
      </c>
      <c r="F8" s="68" t="str">
        <f t="shared" si="5"/>
        <v/>
      </c>
    </row>
    <row r="9">
      <c r="A9" s="60" t="s">
        <v>48</v>
      </c>
      <c r="B9" s="61" t="str">
        <f>SWITCH(SUM(B2:B8), 0, "", SUM(B2:B8))</f>
        <v/>
      </c>
      <c r="C9" s="62" t="str">
        <f t="shared" ref="C9:F9" si="6">SWITCH($B$9, "", "", SUM(C$2:C$8))</f>
        <v/>
      </c>
      <c r="D9" s="62" t="str">
        <f t="shared" si="6"/>
        <v/>
      </c>
      <c r="E9" s="62" t="str">
        <f t="shared" si="6"/>
        <v/>
      </c>
      <c r="F9" s="62" t="str">
        <f t="shared" si="6"/>
        <v/>
      </c>
    </row>
    <row r="10">
      <c r="A10" s="59" t="s">
        <v>49</v>
      </c>
      <c r="B10" s="63"/>
      <c r="C10" s="64" t="str">
        <f t="shared" ref="C10:F10" si="7">SWITCH(C$9, "", "", C$9/$B$9)</f>
        <v/>
      </c>
      <c r="D10" s="64" t="str">
        <f t="shared" si="7"/>
        <v/>
      </c>
      <c r="E10" s="64" t="str">
        <f t="shared" si="7"/>
        <v/>
      </c>
      <c r="F10" s="64" t="str">
        <f t="shared" si="7"/>
        <v/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INDIRECT("'"&amp;$A2&amp;"'!B$13")</f>
        <v>2</v>
      </c>
      <c r="C2" s="53">
        <f t="shared" ref="C2:C8" si="2">INDIRECT("'"&amp;$A2&amp;"'!C$13")</f>
        <v>0</v>
      </c>
      <c r="D2" s="53">
        <f t="shared" ref="D2:D8" si="3">INDIRECT("'"&amp;$A2&amp;"'!D$13")</f>
        <v>0</v>
      </c>
      <c r="E2" s="53">
        <f t="shared" ref="E2:E8" si="4">INDIRECT("'"&amp;$A2&amp;"'!E$13")</f>
        <v>0</v>
      </c>
      <c r="F2" s="54">
        <f t="shared" ref="F2:F8" si="5">INDIRECT("'"&amp;$A2&amp;"'!F$13")</f>
        <v>0</v>
      </c>
      <c r="I2" s="65"/>
    </row>
    <row r="3">
      <c r="A3" s="55" t="s">
        <v>12</v>
      </c>
      <c r="B3" s="56">
        <f t="shared" si="1"/>
        <v>4</v>
      </c>
      <c r="C3" s="57">
        <f t="shared" si="2"/>
        <v>0</v>
      </c>
      <c r="D3" s="57">
        <f t="shared" si="3"/>
        <v>0</v>
      </c>
      <c r="E3" s="57">
        <f t="shared" si="4"/>
        <v>0</v>
      </c>
      <c r="F3" s="58">
        <f t="shared" si="5"/>
        <v>2</v>
      </c>
      <c r="I3" s="65"/>
    </row>
    <row r="4">
      <c r="A4" s="55" t="s">
        <v>13</v>
      </c>
      <c r="B4" s="56">
        <f t="shared" si="1"/>
        <v>1</v>
      </c>
      <c r="C4" s="57">
        <f t="shared" si="2"/>
        <v>0</v>
      </c>
      <c r="D4" s="57">
        <f t="shared" si="3"/>
        <v>0</v>
      </c>
      <c r="E4" s="57">
        <f t="shared" si="4"/>
        <v>0</v>
      </c>
      <c r="F4" s="58">
        <f t="shared" si="5"/>
        <v>0</v>
      </c>
      <c r="I4" s="65"/>
    </row>
    <row r="5">
      <c r="A5" s="55" t="s">
        <v>14</v>
      </c>
      <c r="B5" s="56">
        <f t="shared" si="1"/>
        <v>3</v>
      </c>
      <c r="C5" s="57">
        <f t="shared" si="2"/>
        <v>0</v>
      </c>
      <c r="D5" s="57">
        <f t="shared" si="3"/>
        <v>0</v>
      </c>
      <c r="E5" s="57">
        <f t="shared" si="4"/>
        <v>0</v>
      </c>
      <c r="F5" s="58">
        <f t="shared" si="5"/>
        <v>0</v>
      </c>
      <c r="I5" s="65"/>
    </row>
    <row r="6">
      <c r="A6" s="55" t="s">
        <v>15</v>
      </c>
      <c r="B6" s="56">
        <f t="shared" si="1"/>
        <v>4</v>
      </c>
      <c r="C6" s="57">
        <f t="shared" si="2"/>
        <v>1</v>
      </c>
      <c r="D6" s="57">
        <f t="shared" si="3"/>
        <v>0</v>
      </c>
      <c r="E6" s="57">
        <f t="shared" si="4"/>
        <v>0</v>
      </c>
      <c r="F6" s="58">
        <f t="shared" si="5"/>
        <v>0</v>
      </c>
      <c r="I6" s="65"/>
    </row>
    <row r="7">
      <c r="A7" s="55" t="s">
        <v>16</v>
      </c>
      <c r="B7" s="56">
        <f t="shared" si="1"/>
        <v>2</v>
      </c>
      <c r="C7" s="57">
        <f t="shared" si="2"/>
        <v>0</v>
      </c>
      <c r="D7" s="57">
        <f t="shared" si="3"/>
        <v>0</v>
      </c>
      <c r="E7" s="57">
        <f t="shared" si="4"/>
        <v>0</v>
      </c>
      <c r="F7" s="58">
        <f t="shared" si="5"/>
        <v>0</v>
      </c>
      <c r="I7" s="65"/>
    </row>
    <row r="8">
      <c r="A8" s="59" t="s">
        <v>17</v>
      </c>
      <c r="B8" s="66">
        <f t="shared" si="1"/>
        <v>3</v>
      </c>
      <c r="C8" s="67">
        <f t="shared" si="2"/>
        <v>0</v>
      </c>
      <c r="D8" s="67">
        <f t="shared" si="3"/>
        <v>0</v>
      </c>
      <c r="E8" s="67">
        <f t="shared" si="4"/>
        <v>0</v>
      </c>
      <c r="F8" s="68">
        <f t="shared" si="5"/>
        <v>0</v>
      </c>
    </row>
    <row r="9">
      <c r="A9" s="60" t="s">
        <v>48</v>
      </c>
      <c r="B9" s="61">
        <f>SWITCH(SUM(B2:B8), 0, "", SUM(B2:B8))</f>
        <v>19</v>
      </c>
      <c r="C9" s="62">
        <f t="shared" ref="C9:F9" si="6">SWITCH($B$9, "", "", SUM(C$2:C$8))</f>
        <v>1</v>
      </c>
      <c r="D9" s="62">
        <f t="shared" si="6"/>
        <v>0</v>
      </c>
      <c r="E9" s="62">
        <f t="shared" si="6"/>
        <v>0</v>
      </c>
      <c r="F9" s="62">
        <f t="shared" si="6"/>
        <v>2</v>
      </c>
    </row>
    <row r="10">
      <c r="A10" s="59" t="s">
        <v>49</v>
      </c>
      <c r="B10" s="63"/>
      <c r="C10" s="64">
        <f t="shared" ref="C10:F10" si="7">SWITCH(C$9, "", "", C$9/$B$9)</f>
        <v>0.05263157895</v>
      </c>
      <c r="D10" s="64">
        <f t="shared" si="7"/>
        <v>0</v>
      </c>
      <c r="E10" s="64">
        <f t="shared" si="7"/>
        <v>0</v>
      </c>
      <c r="F10" s="64">
        <f t="shared" si="7"/>
        <v>0.1052631579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INDIRECT("'"&amp;$A2&amp;"'!B$14")</f>
        <v>7</v>
      </c>
      <c r="C2" s="53">
        <f t="shared" ref="C2:C8" si="2">INDIRECT("'"&amp;$A2&amp;"'!C$14")</f>
        <v>0</v>
      </c>
      <c r="D2" s="53">
        <f t="shared" ref="D2:D8" si="3">INDIRECT("'"&amp;$A2&amp;"'!D$14")</f>
        <v>1</v>
      </c>
      <c r="E2" s="53">
        <f t="shared" ref="E2:E8" si="4">INDIRECT("'"&amp;$A2&amp;"'!E$14")</f>
        <v>1</v>
      </c>
      <c r="F2" s="54">
        <f t="shared" ref="F2:F8" si="5">INDIRECT("'"&amp;$A2&amp;"'!F$14")</f>
        <v>0</v>
      </c>
      <c r="I2" s="65"/>
    </row>
    <row r="3">
      <c r="A3" s="55" t="s">
        <v>12</v>
      </c>
      <c r="B3" s="56">
        <f t="shared" si="1"/>
        <v>9</v>
      </c>
      <c r="C3" s="57">
        <f t="shared" si="2"/>
        <v>0</v>
      </c>
      <c r="D3" s="57">
        <f t="shared" si="3"/>
        <v>1</v>
      </c>
      <c r="E3" s="57">
        <f t="shared" si="4"/>
        <v>1</v>
      </c>
      <c r="F3" s="58">
        <f t="shared" si="5"/>
        <v>0</v>
      </c>
      <c r="I3" s="65"/>
    </row>
    <row r="4">
      <c r="A4" s="55" t="s">
        <v>13</v>
      </c>
      <c r="B4" s="56">
        <f t="shared" si="1"/>
        <v>8</v>
      </c>
      <c r="C4" s="57">
        <f t="shared" si="2"/>
        <v>0</v>
      </c>
      <c r="D4" s="57">
        <f t="shared" si="3"/>
        <v>0</v>
      </c>
      <c r="E4" s="57">
        <f t="shared" si="4"/>
        <v>0</v>
      </c>
      <c r="F4" s="58">
        <f t="shared" si="5"/>
        <v>0</v>
      </c>
      <c r="I4" s="65"/>
    </row>
    <row r="5">
      <c r="A5" s="55" t="s">
        <v>14</v>
      </c>
      <c r="B5" s="56" t="str">
        <f t="shared" si="1"/>
        <v/>
      </c>
      <c r="C5" s="57" t="str">
        <f t="shared" si="2"/>
        <v/>
      </c>
      <c r="D5" s="57" t="str">
        <f t="shared" si="3"/>
        <v/>
      </c>
      <c r="E5" s="57" t="str">
        <f t="shared" si="4"/>
        <v/>
      </c>
      <c r="F5" s="58" t="str">
        <f t="shared" si="5"/>
        <v/>
      </c>
      <c r="I5" s="65"/>
    </row>
    <row r="6">
      <c r="A6" s="55" t="s">
        <v>15</v>
      </c>
      <c r="B6" s="56" t="str">
        <f t="shared" si="1"/>
        <v/>
      </c>
      <c r="C6" s="57" t="str">
        <f t="shared" si="2"/>
        <v/>
      </c>
      <c r="D6" s="57" t="str">
        <f t="shared" si="3"/>
        <v/>
      </c>
      <c r="E6" s="57" t="str">
        <f t="shared" si="4"/>
        <v/>
      </c>
      <c r="F6" s="58" t="str">
        <f t="shared" si="5"/>
        <v/>
      </c>
      <c r="I6" s="65"/>
    </row>
    <row r="7">
      <c r="A7" s="55" t="s">
        <v>16</v>
      </c>
      <c r="B7" s="56" t="str">
        <f t="shared" si="1"/>
        <v/>
      </c>
      <c r="C7" s="57" t="str">
        <f t="shared" si="2"/>
        <v/>
      </c>
      <c r="D7" s="57" t="str">
        <f t="shared" si="3"/>
        <v/>
      </c>
      <c r="E7" s="57" t="str">
        <f t="shared" si="4"/>
        <v/>
      </c>
      <c r="F7" s="58" t="str">
        <f t="shared" si="5"/>
        <v/>
      </c>
      <c r="I7" s="65"/>
    </row>
    <row r="8">
      <c r="A8" s="59" t="s">
        <v>17</v>
      </c>
      <c r="B8" s="66" t="str">
        <f t="shared" si="1"/>
        <v/>
      </c>
      <c r="C8" s="67" t="str">
        <f t="shared" si="2"/>
        <v/>
      </c>
      <c r="D8" s="67" t="str">
        <f t="shared" si="3"/>
        <v/>
      </c>
      <c r="E8" s="67" t="str">
        <f t="shared" si="4"/>
        <v/>
      </c>
      <c r="F8" s="68" t="str">
        <f t="shared" si="5"/>
        <v/>
      </c>
    </row>
    <row r="9">
      <c r="A9" s="60" t="s">
        <v>48</v>
      </c>
      <c r="B9" s="61">
        <f>SWITCH(SUM(B2:B8), 0, "", SUM(B2:B8))</f>
        <v>24</v>
      </c>
      <c r="C9" s="62">
        <f t="shared" ref="C9:F9" si="6">SWITCH($B$9, "", "", SUM(C$2:C$8))</f>
        <v>0</v>
      </c>
      <c r="D9" s="62">
        <f t="shared" si="6"/>
        <v>2</v>
      </c>
      <c r="E9" s="62">
        <f t="shared" si="6"/>
        <v>2</v>
      </c>
      <c r="F9" s="62">
        <f t="shared" si="6"/>
        <v>0</v>
      </c>
    </row>
    <row r="10">
      <c r="A10" s="59" t="s">
        <v>49</v>
      </c>
      <c r="B10" s="63"/>
      <c r="C10" s="64">
        <f t="shared" ref="C10:F10" si="7">SWITCH(C$9, "", "", C$9/$B$9)</f>
        <v>0</v>
      </c>
      <c r="D10" s="64">
        <f t="shared" si="7"/>
        <v>0.08333333333</v>
      </c>
      <c r="E10" s="64">
        <f t="shared" si="7"/>
        <v>0.08333333333</v>
      </c>
      <c r="F10" s="64">
        <f t="shared" si="7"/>
        <v>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INDIRECT("'"&amp;$A2&amp;"'!B$15")</f>
        <v>9</v>
      </c>
      <c r="C2" s="53">
        <f t="shared" ref="C2:C8" si="2">INDIRECT("'"&amp;$A2&amp;"'!C$15")</f>
        <v>1</v>
      </c>
      <c r="D2" s="53">
        <f t="shared" ref="D2:D8" si="3">INDIRECT("'"&amp;$A2&amp;"'!D$15")</f>
        <v>0</v>
      </c>
      <c r="E2" s="53">
        <f t="shared" ref="E2:E8" si="4">INDIRECT("'"&amp;$A2&amp;"'!E$15")</f>
        <v>0</v>
      </c>
      <c r="F2" s="54">
        <f t="shared" ref="F2:F8" si="5">INDIRECT("'"&amp;$A2&amp;"'!F$15")</f>
        <v>2</v>
      </c>
      <c r="I2" s="65"/>
    </row>
    <row r="3">
      <c r="A3" s="55" t="s">
        <v>12</v>
      </c>
      <c r="B3" s="56">
        <f t="shared" si="1"/>
        <v>10</v>
      </c>
      <c r="C3" s="57">
        <f t="shared" si="2"/>
        <v>0</v>
      </c>
      <c r="D3" s="57">
        <f t="shared" si="3"/>
        <v>0</v>
      </c>
      <c r="E3" s="57">
        <f t="shared" si="4"/>
        <v>1</v>
      </c>
      <c r="F3" s="58">
        <f t="shared" si="5"/>
        <v>0</v>
      </c>
      <c r="I3" s="65"/>
    </row>
    <row r="4">
      <c r="A4" s="55" t="s">
        <v>13</v>
      </c>
      <c r="B4" s="56">
        <f t="shared" si="1"/>
        <v>13</v>
      </c>
      <c r="C4" s="57">
        <f t="shared" si="2"/>
        <v>2</v>
      </c>
      <c r="D4" s="57">
        <f t="shared" si="3"/>
        <v>0</v>
      </c>
      <c r="E4" s="57">
        <f t="shared" si="4"/>
        <v>0</v>
      </c>
      <c r="F4" s="58">
        <f t="shared" si="5"/>
        <v>2</v>
      </c>
      <c r="I4" s="65"/>
    </row>
    <row r="5">
      <c r="A5" s="55" t="s">
        <v>14</v>
      </c>
      <c r="B5" s="56">
        <f t="shared" si="1"/>
        <v>10</v>
      </c>
      <c r="C5" s="57">
        <f t="shared" si="2"/>
        <v>0</v>
      </c>
      <c r="D5" s="57">
        <f t="shared" si="3"/>
        <v>1</v>
      </c>
      <c r="E5" s="57">
        <f t="shared" si="4"/>
        <v>1</v>
      </c>
      <c r="F5" s="58">
        <f t="shared" si="5"/>
        <v>3</v>
      </c>
      <c r="I5" s="65"/>
    </row>
    <row r="6">
      <c r="A6" s="55" t="s">
        <v>15</v>
      </c>
      <c r="B6" s="56">
        <f t="shared" si="1"/>
        <v>10</v>
      </c>
      <c r="C6" s="57">
        <f t="shared" si="2"/>
        <v>0</v>
      </c>
      <c r="D6" s="57">
        <f t="shared" si="3"/>
        <v>0</v>
      </c>
      <c r="E6" s="57">
        <f t="shared" si="4"/>
        <v>1</v>
      </c>
      <c r="F6" s="58">
        <f t="shared" si="5"/>
        <v>1</v>
      </c>
      <c r="I6" s="65"/>
    </row>
    <row r="7">
      <c r="A7" s="55" t="s">
        <v>16</v>
      </c>
      <c r="B7" s="56">
        <f t="shared" si="1"/>
        <v>11</v>
      </c>
      <c r="C7" s="57">
        <f t="shared" si="2"/>
        <v>2</v>
      </c>
      <c r="D7" s="57">
        <f t="shared" si="3"/>
        <v>2</v>
      </c>
      <c r="E7" s="57">
        <f t="shared" si="4"/>
        <v>1</v>
      </c>
      <c r="F7" s="58">
        <f t="shared" si="5"/>
        <v>2</v>
      </c>
      <c r="I7" s="65"/>
    </row>
    <row r="8">
      <c r="A8" s="59" t="s">
        <v>17</v>
      </c>
      <c r="B8" s="66">
        <f t="shared" si="1"/>
        <v>6</v>
      </c>
      <c r="C8" s="67">
        <f t="shared" si="2"/>
        <v>0</v>
      </c>
      <c r="D8" s="67">
        <f t="shared" si="3"/>
        <v>0</v>
      </c>
      <c r="E8" s="67">
        <f t="shared" si="4"/>
        <v>1</v>
      </c>
      <c r="F8" s="68">
        <f t="shared" si="5"/>
        <v>0</v>
      </c>
    </row>
    <row r="9">
      <c r="A9" s="60" t="s">
        <v>48</v>
      </c>
      <c r="B9" s="61">
        <f>SWITCH(SUM(B2:B8), 0, "", SUM(B2:B8))</f>
        <v>69</v>
      </c>
      <c r="C9" s="62">
        <f t="shared" ref="C9:F9" si="6">SWITCH($B$9, "", "", SUM(C$2:C$8))</f>
        <v>5</v>
      </c>
      <c r="D9" s="62">
        <f t="shared" si="6"/>
        <v>3</v>
      </c>
      <c r="E9" s="62">
        <f t="shared" si="6"/>
        <v>5</v>
      </c>
      <c r="F9" s="62">
        <f t="shared" si="6"/>
        <v>10</v>
      </c>
    </row>
    <row r="10">
      <c r="A10" s="59" t="s">
        <v>49</v>
      </c>
      <c r="B10" s="63"/>
      <c r="C10" s="64">
        <f t="shared" ref="C10:F10" si="7">SWITCH(C$9, "", "", C$9/$B$9)</f>
        <v>0.07246376812</v>
      </c>
      <c r="D10" s="64">
        <f t="shared" si="7"/>
        <v>0.04347826087</v>
      </c>
      <c r="E10" s="64">
        <f t="shared" si="7"/>
        <v>0.07246376812</v>
      </c>
      <c r="F10" s="64">
        <f t="shared" si="7"/>
        <v>0.1449275362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INDIRECT("'"&amp;$A2&amp;"'!B$16")</f>
        <v>8</v>
      </c>
      <c r="C2" s="53">
        <f t="shared" ref="C2:C8" si="2">INDIRECT("'"&amp;$A2&amp;"'!C$16")</f>
        <v>0</v>
      </c>
      <c r="D2" s="53">
        <f t="shared" ref="D2:D8" si="3">INDIRECT("'"&amp;$A2&amp;"'!D$16")</f>
        <v>0</v>
      </c>
      <c r="E2" s="53">
        <f t="shared" ref="E2:E8" si="4">INDIRECT("'"&amp;$A2&amp;"'!E$16")</f>
        <v>0</v>
      </c>
      <c r="F2" s="54">
        <f t="shared" ref="F2:F8" si="5">INDIRECT("'"&amp;$A2&amp;"'!F$16")</f>
        <v>2</v>
      </c>
      <c r="I2" s="65"/>
    </row>
    <row r="3">
      <c r="A3" s="55" t="s">
        <v>12</v>
      </c>
      <c r="B3" s="56">
        <f t="shared" si="1"/>
        <v>4</v>
      </c>
      <c r="C3" s="57">
        <f t="shared" si="2"/>
        <v>0</v>
      </c>
      <c r="D3" s="57">
        <f t="shared" si="3"/>
        <v>0</v>
      </c>
      <c r="E3" s="57">
        <f t="shared" si="4"/>
        <v>1</v>
      </c>
      <c r="F3" s="58">
        <f t="shared" si="5"/>
        <v>1</v>
      </c>
      <c r="I3" s="65"/>
    </row>
    <row r="4">
      <c r="A4" s="55" t="s">
        <v>13</v>
      </c>
      <c r="B4" s="56" t="str">
        <f t="shared" si="1"/>
        <v/>
      </c>
      <c r="C4" s="57" t="str">
        <f t="shared" si="2"/>
        <v/>
      </c>
      <c r="D4" s="57" t="str">
        <f t="shared" si="3"/>
        <v/>
      </c>
      <c r="E4" s="57" t="str">
        <f t="shared" si="4"/>
        <v/>
      </c>
      <c r="F4" s="58" t="str">
        <f t="shared" si="5"/>
        <v/>
      </c>
      <c r="I4" s="65"/>
    </row>
    <row r="5">
      <c r="A5" s="55" t="s">
        <v>14</v>
      </c>
      <c r="B5" s="56">
        <f t="shared" si="1"/>
        <v>7</v>
      </c>
      <c r="C5" s="57">
        <f t="shared" si="2"/>
        <v>0</v>
      </c>
      <c r="D5" s="57">
        <f t="shared" si="3"/>
        <v>0</v>
      </c>
      <c r="E5" s="57">
        <f t="shared" si="4"/>
        <v>0</v>
      </c>
      <c r="F5" s="58">
        <f t="shared" si="5"/>
        <v>0</v>
      </c>
      <c r="I5" s="65"/>
    </row>
    <row r="6">
      <c r="A6" s="55" t="s">
        <v>15</v>
      </c>
      <c r="B6" s="56" t="str">
        <f t="shared" si="1"/>
        <v/>
      </c>
      <c r="C6" s="57" t="str">
        <f t="shared" si="2"/>
        <v/>
      </c>
      <c r="D6" s="57" t="str">
        <f t="shared" si="3"/>
        <v/>
      </c>
      <c r="E6" s="57" t="str">
        <f t="shared" si="4"/>
        <v/>
      </c>
      <c r="F6" s="58" t="str">
        <f t="shared" si="5"/>
        <v/>
      </c>
      <c r="I6" s="65"/>
    </row>
    <row r="7">
      <c r="A7" s="55" t="s">
        <v>16</v>
      </c>
      <c r="B7" s="56">
        <f t="shared" si="1"/>
        <v>9</v>
      </c>
      <c r="C7" s="57">
        <f t="shared" si="2"/>
        <v>1</v>
      </c>
      <c r="D7" s="57">
        <f t="shared" si="3"/>
        <v>0</v>
      </c>
      <c r="E7" s="57">
        <f t="shared" si="4"/>
        <v>0</v>
      </c>
      <c r="F7" s="58">
        <f t="shared" si="5"/>
        <v>2</v>
      </c>
      <c r="I7" s="65"/>
    </row>
    <row r="8">
      <c r="A8" s="59" t="s">
        <v>17</v>
      </c>
      <c r="B8" s="66">
        <f t="shared" si="1"/>
        <v>4</v>
      </c>
      <c r="C8" s="67">
        <f t="shared" si="2"/>
        <v>0</v>
      </c>
      <c r="D8" s="67">
        <f t="shared" si="3"/>
        <v>0</v>
      </c>
      <c r="E8" s="67">
        <f t="shared" si="4"/>
        <v>0</v>
      </c>
      <c r="F8" s="68">
        <f t="shared" si="5"/>
        <v>3</v>
      </c>
    </row>
    <row r="9">
      <c r="A9" s="60" t="s">
        <v>48</v>
      </c>
      <c r="B9" s="61">
        <f>SWITCH(SUM(B2:B8), 0, "", SUM(B2:B8))</f>
        <v>32</v>
      </c>
      <c r="C9" s="62">
        <f t="shared" ref="C9:F9" si="6">SWITCH($B$9, "", "", SUM(C$2:C$8))</f>
        <v>1</v>
      </c>
      <c r="D9" s="62">
        <f t="shared" si="6"/>
        <v>0</v>
      </c>
      <c r="E9" s="62">
        <f t="shared" si="6"/>
        <v>1</v>
      </c>
      <c r="F9" s="62">
        <f t="shared" si="6"/>
        <v>8</v>
      </c>
    </row>
    <row r="10">
      <c r="A10" s="59" t="s">
        <v>49</v>
      </c>
      <c r="B10" s="63"/>
      <c r="C10" s="64">
        <f t="shared" ref="C10:F10" si="7">SWITCH(C$9, "", "", C$9/$B$9)</f>
        <v>0.03125</v>
      </c>
      <c r="D10" s="64">
        <f t="shared" si="7"/>
        <v>0</v>
      </c>
      <c r="E10" s="64">
        <f t="shared" si="7"/>
        <v>0.03125</v>
      </c>
      <c r="F10" s="64">
        <f t="shared" si="7"/>
        <v>0.25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INDIRECT("'"&amp;$A2&amp;"'!B$17")</f>
        <v>5</v>
      </c>
      <c r="C2" s="53">
        <f t="shared" ref="C2:C8" si="2">INDIRECT("'"&amp;$A2&amp;"'!C$17")</f>
        <v>0</v>
      </c>
      <c r="D2" s="53">
        <f t="shared" ref="D2:D8" si="3">INDIRECT("'"&amp;$A2&amp;"'!D$17")</f>
        <v>0</v>
      </c>
      <c r="E2" s="53">
        <f t="shared" ref="E2:E8" si="4">INDIRECT("'"&amp;$A2&amp;"'!E$17")</f>
        <v>0</v>
      </c>
      <c r="F2" s="54">
        <f t="shared" ref="F2:F8" si="5">INDIRECT("'"&amp;$A2&amp;"'!F$17")</f>
        <v>0</v>
      </c>
      <c r="I2" s="65"/>
    </row>
    <row r="3">
      <c r="A3" s="55" t="s">
        <v>12</v>
      </c>
      <c r="B3" s="56">
        <f t="shared" si="1"/>
        <v>10</v>
      </c>
      <c r="C3" s="57">
        <f t="shared" si="2"/>
        <v>0</v>
      </c>
      <c r="D3" s="57">
        <f t="shared" si="3"/>
        <v>1</v>
      </c>
      <c r="E3" s="57">
        <f t="shared" si="4"/>
        <v>0</v>
      </c>
      <c r="F3" s="58">
        <f t="shared" si="5"/>
        <v>2</v>
      </c>
      <c r="I3" s="65"/>
    </row>
    <row r="4">
      <c r="A4" s="55" t="s">
        <v>13</v>
      </c>
      <c r="B4" s="56">
        <f t="shared" si="1"/>
        <v>5</v>
      </c>
      <c r="C4" s="57">
        <f t="shared" si="2"/>
        <v>0</v>
      </c>
      <c r="D4" s="57">
        <f t="shared" si="3"/>
        <v>0</v>
      </c>
      <c r="E4" s="57">
        <f t="shared" si="4"/>
        <v>0</v>
      </c>
      <c r="F4" s="58">
        <f t="shared" si="5"/>
        <v>0</v>
      </c>
      <c r="I4" s="65"/>
    </row>
    <row r="5">
      <c r="A5" s="55" t="s">
        <v>14</v>
      </c>
      <c r="B5" s="56">
        <f t="shared" si="1"/>
        <v>5</v>
      </c>
      <c r="C5" s="57">
        <f t="shared" si="2"/>
        <v>1</v>
      </c>
      <c r="D5" s="57">
        <f t="shared" si="3"/>
        <v>0</v>
      </c>
      <c r="E5" s="57">
        <f t="shared" si="4"/>
        <v>1</v>
      </c>
      <c r="F5" s="58">
        <f t="shared" si="5"/>
        <v>1</v>
      </c>
      <c r="I5" s="65"/>
    </row>
    <row r="6">
      <c r="A6" s="55" t="s">
        <v>15</v>
      </c>
      <c r="B6" s="56">
        <f t="shared" si="1"/>
        <v>6</v>
      </c>
      <c r="C6" s="57">
        <f t="shared" si="2"/>
        <v>0</v>
      </c>
      <c r="D6" s="57">
        <f t="shared" si="3"/>
        <v>0</v>
      </c>
      <c r="E6" s="57">
        <f t="shared" si="4"/>
        <v>1</v>
      </c>
      <c r="F6" s="58">
        <f t="shared" si="5"/>
        <v>1</v>
      </c>
      <c r="I6" s="65"/>
    </row>
    <row r="7">
      <c r="A7" s="55" t="s">
        <v>16</v>
      </c>
      <c r="B7" s="56">
        <f t="shared" si="1"/>
        <v>5</v>
      </c>
      <c r="C7" s="57">
        <f t="shared" si="2"/>
        <v>0</v>
      </c>
      <c r="D7" s="57">
        <f t="shared" si="3"/>
        <v>0</v>
      </c>
      <c r="E7" s="57">
        <f t="shared" si="4"/>
        <v>1</v>
      </c>
      <c r="F7" s="58">
        <f t="shared" si="5"/>
        <v>0</v>
      </c>
      <c r="I7" s="65"/>
    </row>
    <row r="8">
      <c r="A8" s="59" t="s">
        <v>17</v>
      </c>
      <c r="B8" s="66">
        <f t="shared" si="1"/>
        <v>3</v>
      </c>
      <c r="C8" s="67">
        <f t="shared" si="2"/>
        <v>0</v>
      </c>
      <c r="D8" s="67">
        <f t="shared" si="3"/>
        <v>0</v>
      </c>
      <c r="E8" s="67">
        <f t="shared" si="4"/>
        <v>0</v>
      </c>
      <c r="F8" s="68">
        <f t="shared" si="5"/>
        <v>1</v>
      </c>
    </row>
    <row r="9">
      <c r="A9" s="60" t="s">
        <v>48</v>
      </c>
      <c r="B9" s="61">
        <f>SWITCH(SUM(B2:B8), 0, "", SUM(B2:B8))</f>
        <v>39</v>
      </c>
      <c r="C9" s="62">
        <f t="shared" ref="C9:F9" si="6">SWITCH($B$9, "", "", SUM(C$2:C$8))</f>
        <v>1</v>
      </c>
      <c r="D9" s="62">
        <f t="shared" si="6"/>
        <v>1</v>
      </c>
      <c r="E9" s="62">
        <f t="shared" si="6"/>
        <v>3</v>
      </c>
      <c r="F9" s="62">
        <f t="shared" si="6"/>
        <v>5</v>
      </c>
    </row>
    <row r="10">
      <c r="A10" s="59" t="s">
        <v>49</v>
      </c>
      <c r="B10" s="63"/>
      <c r="C10" s="64">
        <f t="shared" ref="C10:F10" si="7">SWITCH(C$9, "", "", C$9/$B$9)</f>
        <v>0.02564102564</v>
      </c>
      <c r="D10" s="64">
        <f t="shared" si="7"/>
        <v>0.02564102564</v>
      </c>
      <c r="E10" s="64">
        <f t="shared" si="7"/>
        <v>0.07692307692</v>
      </c>
      <c r="F10" s="64">
        <f t="shared" si="7"/>
        <v>0.1282051282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INDIRECT("'"&amp;$A2&amp;"'!B$18")</f>
        <v>6</v>
      </c>
      <c r="C2" s="53">
        <f t="shared" ref="C2:C8" si="2">INDIRECT("'"&amp;$A2&amp;"'!C$18")</f>
        <v>0</v>
      </c>
      <c r="D2" s="53">
        <f t="shared" ref="D2:D8" si="3">INDIRECT("'"&amp;$A2&amp;"'!D$18")</f>
        <v>1</v>
      </c>
      <c r="E2" s="53">
        <f t="shared" ref="E2:E8" si="4">INDIRECT("'"&amp;$A2&amp;"'!E$18")</f>
        <v>0</v>
      </c>
      <c r="F2" s="54">
        <f t="shared" ref="F2:F8" si="5">INDIRECT("'"&amp;$A2&amp;"'!F$18")</f>
        <v>0</v>
      </c>
      <c r="I2" s="65"/>
    </row>
    <row r="3">
      <c r="A3" s="55" t="s">
        <v>12</v>
      </c>
      <c r="B3" s="56">
        <f t="shared" si="1"/>
        <v>8</v>
      </c>
      <c r="C3" s="57">
        <f t="shared" si="2"/>
        <v>2</v>
      </c>
      <c r="D3" s="57">
        <f t="shared" si="3"/>
        <v>1</v>
      </c>
      <c r="E3" s="57">
        <f t="shared" si="4"/>
        <v>0</v>
      </c>
      <c r="F3" s="58">
        <f t="shared" si="5"/>
        <v>1</v>
      </c>
      <c r="I3" s="65"/>
    </row>
    <row r="4">
      <c r="A4" s="55" t="s">
        <v>13</v>
      </c>
      <c r="B4" s="56">
        <f t="shared" si="1"/>
        <v>11</v>
      </c>
      <c r="C4" s="57">
        <f t="shared" si="2"/>
        <v>1</v>
      </c>
      <c r="D4" s="57">
        <f t="shared" si="3"/>
        <v>1</v>
      </c>
      <c r="E4" s="57">
        <f t="shared" si="4"/>
        <v>0</v>
      </c>
      <c r="F4" s="58">
        <f t="shared" si="5"/>
        <v>0</v>
      </c>
      <c r="I4" s="65"/>
    </row>
    <row r="5">
      <c r="A5" s="55" t="s">
        <v>14</v>
      </c>
      <c r="B5" s="56">
        <f t="shared" si="1"/>
        <v>9</v>
      </c>
      <c r="C5" s="57">
        <f t="shared" si="2"/>
        <v>0</v>
      </c>
      <c r="D5" s="57">
        <f t="shared" si="3"/>
        <v>1</v>
      </c>
      <c r="E5" s="57">
        <f t="shared" si="4"/>
        <v>0</v>
      </c>
      <c r="F5" s="58">
        <f t="shared" si="5"/>
        <v>2</v>
      </c>
      <c r="I5" s="65"/>
    </row>
    <row r="6">
      <c r="A6" s="55" t="s">
        <v>15</v>
      </c>
      <c r="B6" s="56">
        <f t="shared" si="1"/>
        <v>7</v>
      </c>
      <c r="C6" s="57">
        <f t="shared" si="2"/>
        <v>0</v>
      </c>
      <c r="D6" s="57">
        <f t="shared" si="3"/>
        <v>0</v>
      </c>
      <c r="E6" s="57">
        <f t="shared" si="4"/>
        <v>0</v>
      </c>
      <c r="F6" s="58">
        <f t="shared" si="5"/>
        <v>1</v>
      </c>
      <c r="I6" s="65"/>
    </row>
    <row r="7">
      <c r="A7" s="55" t="s">
        <v>16</v>
      </c>
      <c r="B7" s="56">
        <f t="shared" si="1"/>
        <v>8</v>
      </c>
      <c r="C7" s="57">
        <f t="shared" si="2"/>
        <v>0</v>
      </c>
      <c r="D7" s="57">
        <f t="shared" si="3"/>
        <v>0</v>
      </c>
      <c r="E7" s="57">
        <f t="shared" si="4"/>
        <v>0</v>
      </c>
      <c r="F7" s="58">
        <f t="shared" si="5"/>
        <v>0</v>
      </c>
      <c r="I7" s="65"/>
    </row>
    <row r="8">
      <c r="A8" s="59" t="s">
        <v>17</v>
      </c>
      <c r="B8" s="66">
        <f t="shared" si="1"/>
        <v>4</v>
      </c>
      <c r="C8" s="67">
        <f t="shared" si="2"/>
        <v>0</v>
      </c>
      <c r="D8" s="67">
        <f t="shared" si="3"/>
        <v>0</v>
      </c>
      <c r="E8" s="67">
        <f t="shared" si="4"/>
        <v>0</v>
      </c>
      <c r="F8" s="68">
        <f t="shared" si="5"/>
        <v>1</v>
      </c>
    </row>
    <row r="9">
      <c r="A9" s="60" t="s">
        <v>48</v>
      </c>
      <c r="B9" s="61">
        <f>SWITCH(SUM(B2:B8), 0, "", SUM(B2:B8))</f>
        <v>53</v>
      </c>
      <c r="C9" s="62">
        <f t="shared" ref="C9:F9" si="6">SWITCH($B$9, "", "", SUM(C$2:C$8))</f>
        <v>3</v>
      </c>
      <c r="D9" s="62">
        <f t="shared" si="6"/>
        <v>4</v>
      </c>
      <c r="E9" s="62">
        <f t="shared" si="6"/>
        <v>0</v>
      </c>
      <c r="F9" s="62">
        <f t="shared" si="6"/>
        <v>5</v>
      </c>
    </row>
    <row r="10">
      <c r="A10" s="59" t="s">
        <v>49</v>
      </c>
      <c r="B10" s="63"/>
      <c r="C10" s="64">
        <f t="shared" ref="C10:F10" si="7">SWITCH(C$9, "", "", C$9/$B$9)</f>
        <v>0.05660377358</v>
      </c>
      <c r="D10" s="64">
        <f t="shared" si="7"/>
        <v>0.07547169811</v>
      </c>
      <c r="E10" s="64">
        <f t="shared" si="7"/>
        <v>0</v>
      </c>
      <c r="F10" s="64">
        <f t="shared" si="7"/>
        <v>0.09433962264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INDIRECT("'"&amp;$A2&amp;"'!B$19")</f>
        <v>7</v>
      </c>
      <c r="C2" s="53">
        <f t="shared" ref="C2:C8" si="2">INDIRECT("'"&amp;$A2&amp;"'!C$19")</f>
        <v>1</v>
      </c>
      <c r="D2" s="53">
        <f t="shared" ref="D2:D8" si="3">INDIRECT("'"&amp;$A2&amp;"'!D$19")</f>
        <v>0</v>
      </c>
      <c r="E2" s="53">
        <f t="shared" ref="E2:E8" si="4">INDIRECT("'"&amp;$A2&amp;"'!E$19")</f>
        <v>0</v>
      </c>
      <c r="F2" s="54">
        <f t="shared" ref="F2:F8" si="5">INDIRECT("'"&amp;$A2&amp;"'!F$19")</f>
        <v>0</v>
      </c>
      <c r="I2" s="65"/>
    </row>
    <row r="3">
      <c r="A3" s="55" t="s">
        <v>12</v>
      </c>
      <c r="B3" s="56">
        <f t="shared" si="1"/>
        <v>8</v>
      </c>
      <c r="C3" s="57">
        <f t="shared" si="2"/>
        <v>2</v>
      </c>
      <c r="D3" s="57">
        <f t="shared" si="3"/>
        <v>1</v>
      </c>
      <c r="E3" s="57">
        <f t="shared" si="4"/>
        <v>0</v>
      </c>
      <c r="F3" s="58">
        <f t="shared" si="5"/>
        <v>1</v>
      </c>
      <c r="I3" s="65"/>
    </row>
    <row r="4">
      <c r="A4" s="55" t="s">
        <v>13</v>
      </c>
      <c r="B4" s="56">
        <f t="shared" si="1"/>
        <v>11</v>
      </c>
      <c r="C4" s="57">
        <f t="shared" si="2"/>
        <v>1</v>
      </c>
      <c r="D4" s="57">
        <f t="shared" si="3"/>
        <v>1</v>
      </c>
      <c r="E4" s="57">
        <f t="shared" si="4"/>
        <v>0</v>
      </c>
      <c r="F4" s="58">
        <f t="shared" si="5"/>
        <v>1</v>
      </c>
      <c r="I4" s="65"/>
    </row>
    <row r="5">
      <c r="A5" s="55" t="s">
        <v>14</v>
      </c>
      <c r="B5" s="56">
        <f t="shared" si="1"/>
        <v>10</v>
      </c>
      <c r="C5" s="57">
        <f t="shared" si="2"/>
        <v>1</v>
      </c>
      <c r="D5" s="57">
        <f t="shared" si="3"/>
        <v>0</v>
      </c>
      <c r="E5" s="57">
        <f t="shared" si="4"/>
        <v>1</v>
      </c>
      <c r="F5" s="58">
        <f t="shared" si="5"/>
        <v>1</v>
      </c>
      <c r="I5" s="65"/>
    </row>
    <row r="6">
      <c r="A6" s="55" t="s">
        <v>15</v>
      </c>
      <c r="B6" s="56">
        <f t="shared" si="1"/>
        <v>8</v>
      </c>
      <c r="C6" s="57">
        <f t="shared" si="2"/>
        <v>0</v>
      </c>
      <c r="D6" s="57">
        <f t="shared" si="3"/>
        <v>0</v>
      </c>
      <c r="E6" s="57">
        <f t="shared" si="4"/>
        <v>1</v>
      </c>
      <c r="F6" s="58">
        <f t="shared" si="5"/>
        <v>0</v>
      </c>
      <c r="I6" s="65"/>
    </row>
    <row r="7">
      <c r="A7" s="55" t="s">
        <v>16</v>
      </c>
      <c r="B7" s="56">
        <f t="shared" si="1"/>
        <v>10</v>
      </c>
      <c r="C7" s="57">
        <f t="shared" si="2"/>
        <v>0</v>
      </c>
      <c r="D7" s="57">
        <f t="shared" si="3"/>
        <v>0</v>
      </c>
      <c r="E7" s="57">
        <f t="shared" si="4"/>
        <v>0</v>
      </c>
      <c r="F7" s="58">
        <f t="shared" si="5"/>
        <v>1</v>
      </c>
      <c r="I7" s="65"/>
    </row>
    <row r="8">
      <c r="A8" s="59" t="s">
        <v>17</v>
      </c>
      <c r="B8" s="66">
        <f t="shared" si="1"/>
        <v>4</v>
      </c>
      <c r="C8" s="67">
        <f t="shared" si="2"/>
        <v>0</v>
      </c>
      <c r="D8" s="67">
        <f t="shared" si="3"/>
        <v>0</v>
      </c>
      <c r="E8" s="67">
        <f t="shared" si="4"/>
        <v>0</v>
      </c>
      <c r="F8" s="68">
        <f t="shared" si="5"/>
        <v>0</v>
      </c>
    </row>
    <row r="9">
      <c r="A9" s="60" t="s">
        <v>48</v>
      </c>
      <c r="B9" s="61">
        <f>SWITCH(SUM(B2:B8), 0, "", SUM(B2:B8))</f>
        <v>58</v>
      </c>
      <c r="C9" s="62">
        <f t="shared" ref="C9:F9" si="6">SWITCH($B$9, "", "", SUM(C$2:C$8))</f>
        <v>5</v>
      </c>
      <c r="D9" s="62">
        <f t="shared" si="6"/>
        <v>2</v>
      </c>
      <c r="E9" s="62">
        <f t="shared" si="6"/>
        <v>2</v>
      </c>
      <c r="F9" s="62">
        <f t="shared" si="6"/>
        <v>4</v>
      </c>
    </row>
    <row r="10">
      <c r="A10" s="59" t="s">
        <v>49</v>
      </c>
      <c r="B10" s="63"/>
      <c r="C10" s="64">
        <f t="shared" ref="C10:F10" si="7">SWITCH(C$9, "", "", C$9/$B$9)</f>
        <v>0.08620689655</v>
      </c>
      <c r="D10" s="64">
        <f t="shared" si="7"/>
        <v>0.03448275862</v>
      </c>
      <c r="E10" s="64">
        <f t="shared" si="7"/>
        <v>0.03448275862</v>
      </c>
      <c r="F10" s="64">
        <f t="shared" si="7"/>
        <v>0.06896551724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INDIRECT("'"&amp;$A2&amp;"'!B$20")</f>
        <v>7</v>
      </c>
      <c r="C2" s="53">
        <f t="shared" ref="C2:C8" si="2">INDIRECT("'"&amp;$A2&amp;"'!C$20")</f>
        <v>0</v>
      </c>
      <c r="D2" s="53">
        <f t="shared" ref="D2:D8" si="3">INDIRECT("'"&amp;$A2&amp;"'!D$20")</f>
        <v>0</v>
      </c>
      <c r="E2" s="53">
        <f t="shared" ref="E2:E8" si="4">INDIRECT("'"&amp;$A2&amp;"'!E$20")</f>
        <v>0</v>
      </c>
      <c r="F2" s="54">
        <f t="shared" ref="F2:F8" si="5">INDIRECT("'"&amp;$A2&amp;"'!F$20")</f>
        <v>1</v>
      </c>
      <c r="I2" s="65"/>
    </row>
    <row r="3">
      <c r="A3" s="55" t="s">
        <v>12</v>
      </c>
      <c r="B3" s="56">
        <f t="shared" si="1"/>
        <v>6</v>
      </c>
      <c r="C3" s="57">
        <f t="shared" si="2"/>
        <v>1</v>
      </c>
      <c r="D3" s="57">
        <f t="shared" si="3"/>
        <v>0</v>
      </c>
      <c r="E3" s="57">
        <f t="shared" si="4"/>
        <v>2</v>
      </c>
      <c r="F3" s="58">
        <f t="shared" si="5"/>
        <v>1</v>
      </c>
      <c r="I3" s="65"/>
    </row>
    <row r="4">
      <c r="A4" s="55" t="s">
        <v>13</v>
      </c>
      <c r="B4" s="56">
        <f t="shared" si="1"/>
        <v>13</v>
      </c>
      <c r="C4" s="57">
        <f t="shared" si="2"/>
        <v>0</v>
      </c>
      <c r="D4" s="57">
        <f t="shared" si="3"/>
        <v>2</v>
      </c>
      <c r="E4" s="57">
        <f t="shared" si="4"/>
        <v>1</v>
      </c>
      <c r="F4" s="58">
        <f t="shared" si="5"/>
        <v>2</v>
      </c>
      <c r="I4" s="65"/>
    </row>
    <row r="5">
      <c r="A5" s="55" t="s">
        <v>14</v>
      </c>
      <c r="B5" s="56">
        <f t="shared" si="1"/>
        <v>10</v>
      </c>
      <c r="C5" s="57">
        <f t="shared" si="2"/>
        <v>1</v>
      </c>
      <c r="D5" s="57">
        <f t="shared" si="3"/>
        <v>0</v>
      </c>
      <c r="E5" s="57">
        <f t="shared" si="4"/>
        <v>1</v>
      </c>
      <c r="F5" s="58">
        <f t="shared" si="5"/>
        <v>3</v>
      </c>
      <c r="I5" s="65"/>
    </row>
    <row r="6">
      <c r="A6" s="55" t="s">
        <v>15</v>
      </c>
      <c r="B6" s="56">
        <f t="shared" si="1"/>
        <v>9</v>
      </c>
      <c r="C6" s="57">
        <f t="shared" si="2"/>
        <v>0</v>
      </c>
      <c r="D6" s="57">
        <f t="shared" si="3"/>
        <v>0</v>
      </c>
      <c r="E6" s="57">
        <f t="shared" si="4"/>
        <v>1</v>
      </c>
      <c r="F6" s="58">
        <f t="shared" si="5"/>
        <v>1</v>
      </c>
      <c r="I6" s="65"/>
    </row>
    <row r="7">
      <c r="A7" s="55" t="s">
        <v>16</v>
      </c>
      <c r="B7" s="56">
        <f t="shared" si="1"/>
        <v>10</v>
      </c>
      <c r="C7" s="57">
        <f t="shared" si="2"/>
        <v>1</v>
      </c>
      <c r="D7" s="57">
        <f t="shared" si="3"/>
        <v>0</v>
      </c>
      <c r="E7" s="57">
        <f t="shared" si="4"/>
        <v>2</v>
      </c>
      <c r="F7" s="58">
        <f t="shared" si="5"/>
        <v>3</v>
      </c>
      <c r="I7" s="65"/>
    </row>
    <row r="8">
      <c r="A8" s="59" t="s">
        <v>17</v>
      </c>
      <c r="B8" s="66">
        <f t="shared" si="1"/>
        <v>4</v>
      </c>
      <c r="C8" s="67">
        <f t="shared" si="2"/>
        <v>0</v>
      </c>
      <c r="D8" s="67">
        <f t="shared" si="3"/>
        <v>0</v>
      </c>
      <c r="E8" s="67">
        <f t="shared" si="4"/>
        <v>0</v>
      </c>
      <c r="F8" s="68">
        <f t="shared" si="5"/>
        <v>0</v>
      </c>
    </row>
    <row r="9">
      <c r="A9" s="60" t="s">
        <v>48</v>
      </c>
      <c r="B9" s="61">
        <f>SWITCH(SUM(B2:B8), 0, "", SUM(B2:B8))</f>
        <v>59</v>
      </c>
      <c r="C9" s="62">
        <f t="shared" ref="C9:F9" si="6">SWITCH($B$9, "", "", SUM(C$2:C$8))</f>
        <v>3</v>
      </c>
      <c r="D9" s="62">
        <f t="shared" si="6"/>
        <v>2</v>
      </c>
      <c r="E9" s="62">
        <f t="shared" si="6"/>
        <v>7</v>
      </c>
      <c r="F9" s="62">
        <f t="shared" si="6"/>
        <v>11</v>
      </c>
    </row>
    <row r="10">
      <c r="A10" s="59" t="s">
        <v>49</v>
      </c>
      <c r="B10" s="63"/>
      <c r="C10" s="64">
        <f t="shared" ref="C10:F10" si="7">SWITCH(C$9, "", "", C$9/$B$9)</f>
        <v>0.05084745763</v>
      </c>
      <c r="D10" s="64">
        <f t="shared" si="7"/>
        <v>0.03389830508</v>
      </c>
      <c r="E10" s="64">
        <f t="shared" si="7"/>
        <v>0.1186440678</v>
      </c>
      <c r="F10" s="64">
        <f t="shared" si="7"/>
        <v>0.186440678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INDIRECT("'"&amp;$A2&amp;"'!B$21")</f>
        <v>5</v>
      </c>
      <c r="C2" s="53">
        <f t="shared" ref="C2:C8" si="2">INDIRECT("'"&amp;$A2&amp;"'!C$21")</f>
        <v>1</v>
      </c>
      <c r="D2" s="53">
        <f t="shared" ref="D2:D8" si="3">INDIRECT("'"&amp;$A2&amp;"'!D$21")</f>
        <v>0</v>
      </c>
      <c r="E2" s="53">
        <f t="shared" ref="E2:E8" si="4">INDIRECT("'"&amp;$A2&amp;"'!E$21")</f>
        <v>0</v>
      </c>
      <c r="F2" s="54">
        <f t="shared" ref="F2:F8" si="5">INDIRECT("'"&amp;$A2&amp;"'!F$21")</f>
        <v>0</v>
      </c>
      <c r="I2" s="65"/>
    </row>
    <row r="3">
      <c r="A3" s="55" t="s">
        <v>12</v>
      </c>
      <c r="B3" s="56">
        <f t="shared" si="1"/>
        <v>7</v>
      </c>
      <c r="C3" s="57">
        <f t="shared" si="2"/>
        <v>0</v>
      </c>
      <c r="D3" s="57">
        <f t="shared" si="3"/>
        <v>1</v>
      </c>
      <c r="E3" s="57">
        <f t="shared" si="4"/>
        <v>0</v>
      </c>
      <c r="F3" s="58">
        <f t="shared" si="5"/>
        <v>1</v>
      </c>
      <c r="I3" s="65"/>
    </row>
    <row r="4">
      <c r="A4" s="55" t="s">
        <v>13</v>
      </c>
      <c r="B4" s="56">
        <f t="shared" si="1"/>
        <v>9</v>
      </c>
      <c r="C4" s="57">
        <f t="shared" si="2"/>
        <v>0</v>
      </c>
      <c r="D4" s="57">
        <f t="shared" si="3"/>
        <v>1</v>
      </c>
      <c r="E4" s="57">
        <f t="shared" si="4"/>
        <v>1</v>
      </c>
      <c r="F4" s="58">
        <f t="shared" si="5"/>
        <v>1</v>
      </c>
      <c r="I4" s="65"/>
    </row>
    <row r="5">
      <c r="A5" s="55" t="s">
        <v>14</v>
      </c>
      <c r="B5" s="56">
        <f t="shared" si="1"/>
        <v>8</v>
      </c>
      <c r="C5" s="57">
        <f t="shared" si="2"/>
        <v>0</v>
      </c>
      <c r="D5" s="57">
        <f t="shared" si="3"/>
        <v>1</v>
      </c>
      <c r="E5" s="57">
        <f t="shared" si="4"/>
        <v>0</v>
      </c>
      <c r="F5" s="58">
        <f t="shared" si="5"/>
        <v>0</v>
      </c>
      <c r="I5" s="65"/>
    </row>
    <row r="6">
      <c r="A6" s="55" t="s">
        <v>15</v>
      </c>
      <c r="B6" s="56">
        <f t="shared" si="1"/>
        <v>6</v>
      </c>
      <c r="C6" s="57">
        <f t="shared" si="2"/>
        <v>1</v>
      </c>
      <c r="D6" s="57">
        <f t="shared" si="3"/>
        <v>0</v>
      </c>
      <c r="E6" s="57">
        <f t="shared" si="4"/>
        <v>0</v>
      </c>
      <c r="F6" s="58">
        <f t="shared" si="5"/>
        <v>0</v>
      </c>
      <c r="I6" s="65"/>
    </row>
    <row r="7">
      <c r="A7" s="55" t="s">
        <v>16</v>
      </c>
      <c r="B7" s="56">
        <f t="shared" si="1"/>
        <v>8</v>
      </c>
      <c r="C7" s="57">
        <f t="shared" si="2"/>
        <v>0</v>
      </c>
      <c r="D7" s="57">
        <f t="shared" si="3"/>
        <v>2</v>
      </c>
      <c r="E7" s="57">
        <f t="shared" si="4"/>
        <v>1</v>
      </c>
      <c r="F7" s="58">
        <f t="shared" si="5"/>
        <v>1</v>
      </c>
      <c r="I7" s="65"/>
    </row>
    <row r="8">
      <c r="A8" s="59" t="s">
        <v>17</v>
      </c>
      <c r="B8" s="66">
        <f t="shared" si="1"/>
        <v>3</v>
      </c>
      <c r="C8" s="67">
        <f t="shared" si="2"/>
        <v>0</v>
      </c>
      <c r="D8" s="67">
        <f t="shared" si="3"/>
        <v>1</v>
      </c>
      <c r="E8" s="67">
        <f t="shared" si="4"/>
        <v>0</v>
      </c>
      <c r="F8" s="68">
        <f t="shared" si="5"/>
        <v>0</v>
      </c>
    </row>
    <row r="9">
      <c r="A9" s="60" t="s">
        <v>48</v>
      </c>
      <c r="B9" s="61">
        <f>SWITCH(SUM(B2:B8), 0, "", SUM(B2:B8))</f>
        <v>46</v>
      </c>
      <c r="C9" s="62">
        <f t="shared" ref="C9:F9" si="6">SWITCH($B$9, "", "", SUM(C$2:C$8))</f>
        <v>2</v>
      </c>
      <c r="D9" s="62">
        <f t="shared" si="6"/>
        <v>6</v>
      </c>
      <c r="E9" s="62">
        <f t="shared" si="6"/>
        <v>2</v>
      </c>
      <c r="F9" s="62">
        <f t="shared" si="6"/>
        <v>3</v>
      </c>
    </row>
    <row r="10">
      <c r="A10" s="59" t="s">
        <v>49</v>
      </c>
      <c r="B10" s="63"/>
      <c r="C10" s="64">
        <f t="shared" ref="C10:F10" si="7">SWITCH(C$9, "", "", C$9/$B$9)</f>
        <v>0.04347826087</v>
      </c>
      <c r="D10" s="64">
        <f t="shared" si="7"/>
        <v>0.1304347826</v>
      </c>
      <c r="E10" s="64">
        <f t="shared" si="7"/>
        <v>0.04347826087</v>
      </c>
      <c r="F10" s="64">
        <f t="shared" si="7"/>
        <v>0.0652173913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INDIRECT("'"&amp;$A2&amp;"'!B$22")</f>
        <v>5</v>
      </c>
      <c r="C2" s="53">
        <f t="shared" ref="C2:C8" si="2">INDIRECT("'"&amp;$A2&amp;"'!C$22")</f>
        <v>0</v>
      </c>
      <c r="D2" s="53">
        <f t="shared" ref="D2:D8" si="3">INDIRECT("'"&amp;$A2&amp;"'!D$22")</f>
        <v>1</v>
      </c>
      <c r="E2" s="53">
        <f t="shared" ref="E2:E8" si="4">INDIRECT("'"&amp;$A2&amp;"'!E$22")</f>
        <v>0</v>
      </c>
      <c r="F2" s="54">
        <f t="shared" ref="F2:F8" si="5">INDIRECT("'"&amp;$A2&amp;"'!F$22")</f>
        <v>0</v>
      </c>
      <c r="I2" s="65"/>
    </row>
    <row r="3">
      <c r="A3" s="55" t="s">
        <v>12</v>
      </c>
      <c r="B3" s="56">
        <f t="shared" si="1"/>
        <v>6</v>
      </c>
      <c r="C3" s="57">
        <f t="shared" si="2"/>
        <v>0</v>
      </c>
      <c r="D3" s="57">
        <f t="shared" si="3"/>
        <v>2</v>
      </c>
      <c r="E3" s="57">
        <f t="shared" si="4"/>
        <v>0</v>
      </c>
      <c r="F3" s="58">
        <f t="shared" si="5"/>
        <v>0</v>
      </c>
      <c r="I3" s="65"/>
    </row>
    <row r="4">
      <c r="A4" s="55" t="s">
        <v>13</v>
      </c>
      <c r="B4" s="56">
        <f t="shared" si="1"/>
        <v>8</v>
      </c>
      <c r="C4" s="57">
        <f t="shared" si="2"/>
        <v>0</v>
      </c>
      <c r="D4" s="57">
        <f t="shared" si="3"/>
        <v>0</v>
      </c>
      <c r="E4" s="57">
        <f t="shared" si="4"/>
        <v>0</v>
      </c>
      <c r="F4" s="58">
        <f t="shared" si="5"/>
        <v>0</v>
      </c>
      <c r="I4" s="65"/>
    </row>
    <row r="5">
      <c r="A5" s="55" t="s">
        <v>14</v>
      </c>
      <c r="B5" s="56">
        <f t="shared" si="1"/>
        <v>7</v>
      </c>
      <c r="C5" s="57">
        <f t="shared" si="2"/>
        <v>0</v>
      </c>
      <c r="D5" s="57">
        <f t="shared" si="3"/>
        <v>0</v>
      </c>
      <c r="E5" s="57">
        <f t="shared" si="4"/>
        <v>0</v>
      </c>
      <c r="F5" s="58">
        <f t="shared" si="5"/>
        <v>1</v>
      </c>
      <c r="I5" s="65"/>
    </row>
    <row r="6">
      <c r="A6" s="55" t="s">
        <v>15</v>
      </c>
      <c r="B6" s="56">
        <f t="shared" si="1"/>
        <v>5</v>
      </c>
      <c r="C6" s="57">
        <f t="shared" si="2"/>
        <v>0</v>
      </c>
      <c r="D6" s="57">
        <f t="shared" si="3"/>
        <v>0</v>
      </c>
      <c r="E6" s="57">
        <f t="shared" si="4"/>
        <v>0</v>
      </c>
      <c r="F6" s="58">
        <f t="shared" si="5"/>
        <v>1</v>
      </c>
      <c r="I6" s="65"/>
    </row>
    <row r="7">
      <c r="A7" s="55" t="s">
        <v>16</v>
      </c>
      <c r="B7" s="56">
        <f t="shared" si="1"/>
        <v>5</v>
      </c>
      <c r="C7" s="57">
        <f t="shared" si="2"/>
        <v>0</v>
      </c>
      <c r="D7" s="57">
        <f t="shared" si="3"/>
        <v>0</v>
      </c>
      <c r="E7" s="57">
        <f t="shared" si="4"/>
        <v>0</v>
      </c>
      <c r="F7" s="58">
        <f t="shared" si="5"/>
        <v>0</v>
      </c>
      <c r="I7" s="65"/>
    </row>
    <row r="8">
      <c r="A8" s="59" t="s">
        <v>17</v>
      </c>
      <c r="B8" s="66">
        <f t="shared" si="1"/>
        <v>3</v>
      </c>
      <c r="C8" s="67">
        <f t="shared" si="2"/>
        <v>0</v>
      </c>
      <c r="D8" s="67">
        <f t="shared" si="3"/>
        <v>0</v>
      </c>
      <c r="E8" s="67">
        <f t="shared" si="4"/>
        <v>0</v>
      </c>
      <c r="F8" s="68">
        <f t="shared" si="5"/>
        <v>0</v>
      </c>
    </row>
    <row r="9">
      <c r="A9" s="60" t="s">
        <v>48</v>
      </c>
      <c r="B9" s="61">
        <f>SWITCH(SUM(B2:B8), 0, "", SUM(B2:B8))</f>
        <v>39</v>
      </c>
      <c r="C9" s="62">
        <f t="shared" ref="C9:F9" si="6">SWITCH($B$9, "", "", SUM(C$2:C$8))</f>
        <v>0</v>
      </c>
      <c r="D9" s="62">
        <f t="shared" si="6"/>
        <v>3</v>
      </c>
      <c r="E9" s="62">
        <f t="shared" si="6"/>
        <v>0</v>
      </c>
      <c r="F9" s="62">
        <f t="shared" si="6"/>
        <v>2</v>
      </c>
    </row>
    <row r="10">
      <c r="A10" s="59" t="s">
        <v>49</v>
      </c>
      <c r="B10" s="63"/>
      <c r="C10" s="64">
        <f t="shared" ref="C10:F10" si="7">SWITCH(C$9, "", "", C$9/$B$9)</f>
        <v>0</v>
      </c>
      <c r="D10" s="64">
        <f t="shared" si="7"/>
        <v>0.07692307692</v>
      </c>
      <c r="E10" s="64">
        <f t="shared" si="7"/>
        <v>0</v>
      </c>
      <c r="F10" s="64">
        <f t="shared" si="7"/>
        <v>0.05128205128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INDIRECT("'"&amp;$A2&amp;"'!B$23")</f>
        <v>4</v>
      </c>
      <c r="C2" s="53">
        <f t="shared" ref="C2:C8" si="2">INDIRECT("'"&amp;$A2&amp;"'!C$23")</f>
        <v>0</v>
      </c>
      <c r="D2" s="53">
        <f t="shared" ref="D2:D8" si="3">INDIRECT("'"&amp;$A2&amp;"'!D$23")</f>
        <v>1</v>
      </c>
      <c r="E2" s="53">
        <f t="shared" ref="E2:E8" si="4">INDIRECT("'"&amp;$A2&amp;"'!E$23")</f>
        <v>0</v>
      </c>
      <c r="F2" s="54">
        <f t="shared" ref="F2:F8" si="5">INDIRECT("'"&amp;$A2&amp;"'!F$23")</f>
        <v>0</v>
      </c>
      <c r="I2" s="65"/>
    </row>
    <row r="3">
      <c r="A3" s="55" t="s">
        <v>12</v>
      </c>
      <c r="B3" s="56">
        <f t="shared" si="1"/>
        <v>5</v>
      </c>
      <c r="C3" s="57">
        <f t="shared" si="2"/>
        <v>0</v>
      </c>
      <c r="D3" s="57">
        <f t="shared" si="3"/>
        <v>1</v>
      </c>
      <c r="E3" s="57">
        <f t="shared" si="4"/>
        <v>0</v>
      </c>
      <c r="F3" s="58">
        <f t="shared" si="5"/>
        <v>1</v>
      </c>
      <c r="I3" s="65"/>
    </row>
    <row r="4">
      <c r="A4" s="55" t="s">
        <v>13</v>
      </c>
      <c r="B4" s="56">
        <f t="shared" si="1"/>
        <v>6</v>
      </c>
      <c r="C4" s="57">
        <f t="shared" si="2"/>
        <v>0</v>
      </c>
      <c r="D4" s="57">
        <f t="shared" si="3"/>
        <v>1</v>
      </c>
      <c r="E4" s="57">
        <f t="shared" si="4"/>
        <v>1</v>
      </c>
      <c r="F4" s="58">
        <f t="shared" si="5"/>
        <v>0</v>
      </c>
      <c r="I4" s="65"/>
    </row>
    <row r="5">
      <c r="A5" s="55" t="s">
        <v>14</v>
      </c>
      <c r="B5" s="56">
        <f t="shared" si="1"/>
        <v>7</v>
      </c>
      <c r="C5" s="57">
        <f t="shared" si="2"/>
        <v>0</v>
      </c>
      <c r="D5" s="57">
        <f t="shared" si="3"/>
        <v>0</v>
      </c>
      <c r="E5" s="57">
        <f t="shared" si="4"/>
        <v>0</v>
      </c>
      <c r="F5" s="58">
        <f t="shared" si="5"/>
        <v>0</v>
      </c>
      <c r="I5" s="65"/>
    </row>
    <row r="6">
      <c r="A6" s="55" t="s">
        <v>15</v>
      </c>
      <c r="B6" s="56">
        <f t="shared" si="1"/>
        <v>5</v>
      </c>
      <c r="C6" s="57">
        <f t="shared" si="2"/>
        <v>0</v>
      </c>
      <c r="D6" s="57">
        <f t="shared" si="3"/>
        <v>0</v>
      </c>
      <c r="E6" s="57">
        <f t="shared" si="4"/>
        <v>0</v>
      </c>
      <c r="F6" s="58">
        <f t="shared" si="5"/>
        <v>0</v>
      </c>
      <c r="I6" s="65"/>
    </row>
    <row r="7">
      <c r="A7" s="55" t="s">
        <v>16</v>
      </c>
      <c r="B7" s="56">
        <f t="shared" si="1"/>
        <v>5</v>
      </c>
      <c r="C7" s="57">
        <f t="shared" si="2"/>
        <v>0</v>
      </c>
      <c r="D7" s="57">
        <f t="shared" si="3"/>
        <v>1</v>
      </c>
      <c r="E7" s="57">
        <f t="shared" si="4"/>
        <v>0</v>
      </c>
      <c r="F7" s="58">
        <f t="shared" si="5"/>
        <v>0</v>
      </c>
      <c r="I7" s="65"/>
    </row>
    <row r="8">
      <c r="A8" s="59" t="s">
        <v>17</v>
      </c>
      <c r="B8" s="66">
        <f t="shared" si="1"/>
        <v>3</v>
      </c>
      <c r="C8" s="67">
        <f t="shared" si="2"/>
        <v>0</v>
      </c>
      <c r="D8" s="67">
        <f t="shared" si="3"/>
        <v>0</v>
      </c>
      <c r="E8" s="67">
        <f t="shared" si="4"/>
        <v>0</v>
      </c>
      <c r="F8" s="68">
        <f t="shared" si="5"/>
        <v>1</v>
      </c>
    </row>
    <row r="9">
      <c r="A9" s="60" t="s">
        <v>48</v>
      </c>
      <c r="B9" s="61">
        <f>SWITCH(SUM(B2:B8), 0, "", SUM(B2:B8))</f>
        <v>35</v>
      </c>
      <c r="C9" s="62">
        <f t="shared" ref="C9:F9" si="6">SWITCH($B$9, "", "", SUM(C$2:C$8))</f>
        <v>0</v>
      </c>
      <c r="D9" s="62">
        <f t="shared" si="6"/>
        <v>4</v>
      </c>
      <c r="E9" s="62">
        <f t="shared" si="6"/>
        <v>1</v>
      </c>
      <c r="F9" s="62">
        <f t="shared" si="6"/>
        <v>2</v>
      </c>
    </row>
    <row r="10">
      <c r="A10" s="59" t="s">
        <v>49</v>
      </c>
      <c r="B10" s="63"/>
      <c r="C10" s="64">
        <f t="shared" ref="C10:F10" si="7">SWITCH(C$9, "", "", C$9/$B$9)</f>
        <v>0</v>
      </c>
      <c r="D10" s="64">
        <f t="shared" si="7"/>
        <v>0.1142857143</v>
      </c>
      <c r="E10" s="64">
        <f t="shared" si="7"/>
        <v>0.02857142857</v>
      </c>
      <c r="F10" s="64">
        <f t="shared" si="7"/>
        <v>0.05714285714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INDIRECT("'"&amp;$A2&amp;"'!B$24")</f>
        <v>3</v>
      </c>
      <c r="C2" s="53">
        <f t="shared" ref="C2:C8" si="2">INDIRECT("'"&amp;$A2&amp;"'!C$24")</f>
        <v>0</v>
      </c>
      <c r="D2" s="53">
        <f t="shared" ref="D2:D8" si="3">INDIRECT("'"&amp;$A2&amp;"'!D$24")</f>
        <v>0</v>
      </c>
      <c r="E2" s="53">
        <f t="shared" ref="E2:E8" si="4">INDIRECT("'"&amp;$A2&amp;"'!E$24")</f>
        <v>1</v>
      </c>
      <c r="F2" s="54">
        <f t="shared" ref="F2:F8" si="5">INDIRECT("'"&amp;$A2&amp;"'!F$24")</f>
        <v>0</v>
      </c>
      <c r="I2" s="65"/>
    </row>
    <row r="3">
      <c r="A3" s="55" t="s">
        <v>12</v>
      </c>
      <c r="B3" s="56">
        <f t="shared" si="1"/>
        <v>4</v>
      </c>
      <c r="C3" s="57">
        <f t="shared" si="2"/>
        <v>0</v>
      </c>
      <c r="D3" s="57">
        <f t="shared" si="3"/>
        <v>0</v>
      </c>
      <c r="E3" s="57">
        <f t="shared" si="4"/>
        <v>0</v>
      </c>
      <c r="F3" s="58">
        <f t="shared" si="5"/>
        <v>0</v>
      </c>
      <c r="I3" s="65"/>
    </row>
    <row r="4">
      <c r="A4" s="55" t="s">
        <v>13</v>
      </c>
      <c r="B4" s="56">
        <f t="shared" si="1"/>
        <v>3</v>
      </c>
      <c r="C4" s="57">
        <f t="shared" si="2"/>
        <v>0</v>
      </c>
      <c r="D4" s="57">
        <f t="shared" si="3"/>
        <v>0</v>
      </c>
      <c r="E4" s="57">
        <f t="shared" si="4"/>
        <v>0</v>
      </c>
      <c r="F4" s="58">
        <f t="shared" si="5"/>
        <v>0</v>
      </c>
      <c r="I4" s="65"/>
    </row>
    <row r="5">
      <c r="A5" s="55" t="s">
        <v>14</v>
      </c>
      <c r="B5" s="56">
        <f t="shared" si="1"/>
        <v>4</v>
      </c>
      <c r="C5" s="57">
        <f t="shared" si="2"/>
        <v>0</v>
      </c>
      <c r="D5" s="57">
        <f t="shared" si="3"/>
        <v>0</v>
      </c>
      <c r="E5" s="57">
        <f t="shared" si="4"/>
        <v>0</v>
      </c>
      <c r="F5" s="58">
        <f t="shared" si="5"/>
        <v>0</v>
      </c>
      <c r="I5" s="65"/>
    </row>
    <row r="6">
      <c r="A6" s="55" t="s">
        <v>15</v>
      </c>
      <c r="B6" s="56">
        <f t="shared" si="1"/>
        <v>5</v>
      </c>
      <c r="C6" s="57">
        <f t="shared" si="2"/>
        <v>0</v>
      </c>
      <c r="D6" s="57">
        <f t="shared" si="3"/>
        <v>0</v>
      </c>
      <c r="E6" s="57">
        <f t="shared" si="4"/>
        <v>0</v>
      </c>
      <c r="F6" s="58">
        <f t="shared" si="5"/>
        <v>0</v>
      </c>
      <c r="I6" s="65"/>
    </row>
    <row r="7">
      <c r="A7" s="55" t="s">
        <v>16</v>
      </c>
      <c r="B7" s="56">
        <f t="shared" si="1"/>
        <v>2</v>
      </c>
      <c r="C7" s="57">
        <f t="shared" si="2"/>
        <v>0</v>
      </c>
      <c r="D7" s="57">
        <f t="shared" si="3"/>
        <v>0</v>
      </c>
      <c r="E7" s="57">
        <f t="shared" si="4"/>
        <v>0</v>
      </c>
      <c r="F7" s="58">
        <f t="shared" si="5"/>
        <v>0</v>
      </c>
      <c r="I7" s="65"/>
    </row>
    <row r="8">
      <c r="A8" s="59" t="s">
        <v>17</v>
      </c>
      <c r="B8" s="66">
        <f t="shared" si="1"/>
        <v>2</v>
      </c>
      <c r="C8" s="67">
        <f t="shared" si="2"/>
        <v>0</v>
      </c>
      <c r="D8" s="67">
        <f t="shared" si="3"/>
        <v>0</v>
      </c>
      <c r="E8" s="67">
        <f t="shared" si="4"/>
        <v>0</v>
      </c>
      <c r="F8" s="68">
        <f t="shared" si="5"/>
        <v>0</v>
      </c>
    </row>
    <row r="9">
      <c r="A9" s="60" t="s">
        <v>48</v>
      </c>
      <c r="B9" s="61">
        <f>SWITCH(SUM(B2:B8), 0, "", SUM(B2:B8))</f>
        <v>23</v>
      </c>
      <c r="C9" s="62">
        <f t="shared" ref="C9:F9" si="6">SWITCH($B$9, "", "", SUM(C$2:C$8))</f>
        <v>0</v>
      </c>
      <c r="D9" s="62">
        <f t="shared" si="6"/>
        <v>0</v>
      </c>
      <c r="E9" s="62">
        <f t="shared" si="6"/>
        <v>1</v>
      </c>
      <c r="F9" s="62">
        <f t="shared" si="6"/>
        <v>0</v>
      </c>
    </row>
    <row r="10">
      <c r="A10" s="59" t="s">
        <v>49</v>
      </c>
      <c r="B10" s="63"/>
      <c r="C10" s="64">
        <f t="shared" ref="C10:F10" si="7">SWITCH(C$9, "", "", C$9/$B$9)</f>
        <v>0</v>
      </c>
      <c r="D10" s="64">
        <f t="shared" si="7"/>
        <v>0</v>
      </c>
      <c r="E10" s="64">
        <f t="shared" si="7"/>
        <v>0.04347826087</v>
      </c>
      <c r="F10" s="64">
        <f t="shared" si="7"/>
        <v>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49" t="s">
        <v>2</v>
      </c>
      <c r="C1" s="50" t="s">
        <v>3</v>
      </c>
      <c r="D1" s="50" t="s">
        <v>4</v>
      </c>
      <c r="E1" s="50" t="s">
        <v>5</v>
      </c>
      <c r="F1" s="51" t="s">
        <v>47</v>
      </c>
      <c r="G1" s="48"/>
      <c r="I1" s="65"/>
    </row>
    <row r="2">
      <c r="A2" s="49" t="s">
        <v>11</v>
      </c>
      <c r="B2" s="52">
        <f t="shared" ref="B2:B8" si="1">INDIRECT("'"&amp;$A2&amp;"'!B$25")</f>
        <v>2</v>
      </c>
      <c r="C2" s="53">
        <f t="shared" ref="C2:C8" si="2">INDIRECT("'"&amp;$A2&amp;"'!C$25")</f>
        <v>0</v>
      </c>
      <c r="D2" s="53">
        <f t="shared" ref="D2:D8" si="3">INDIRECT("'"&amp;$A2&amp;"'!D$25")</f>
        <v>0</v>
      </c>
      <c r="E2" s="53">
        <f t="shared" ref="E2:E8" si="4">INDIRECT("'"&amp;$A2&amp;"'!E$25")</f>
        <v>0</v>
      </c>
      <c r="F2" s="54">
        <f t="shared" ref="F2:F8" si="5">INDIRECT("'"&amp;$A2&amp;"'!F$25")</f>
        <v>0</v>
      </c>
      <c r="I2" s="65"/>
    </row>
    <row r="3">
      <c r="A3" s="55" t="s">
        <v>12</v>
      </c>
      <c r="B3" s="56">
        <f t="shared" si="1"/>
        <v>2</v>
      </c>
      <c r="C3" s="57">
        <f t="shared" si="2"/>
        <v>0</v>
      </c>
      <c r="D3" s="57">
        <f t="shared" si="3"/>
        <v>0</v>
      </c>
      <c r="E3" s="57">
        <f t="shared" si="4"/>
        <v>0</v>
      </c>
      <c r="F3" s="58">
        <f t="shared" si="5"/>
        <v>0</v>
      </c>
      <c r="I3" s="65"/>
    </row>
    <row r="4">
      <c r="A4" s="55" t="s">
        <v>13</v>
      </c>
      <c r="B4" s="56" t="str">
        <f t="shared" si="1"/>
        <v/>
      </c>
      <c r="C4" s="57" t="str">
        <f t="shared" si="2"/>
        <v/>
      </c>
      <c r="D4" s="57" t="str">
        <f t="shared" si="3"/>
        <v/>
      </c>
      <c r="E4" s="57" t="str">
        <f t="shared" si="4"/>
        <v/>
      </c>
      <c r="F4" s="58" t="str">
        <f t="shared" si="5"/>
        <v/>
      </c>
      <c r="I4" s="65"/>
    </row>
    <row r="5">
      <c r="A5" s="55" t="s">
        <v>14</v>
      </c>
      <c r="B5" s="56" t="str">
        <f t="shared" si="1"/>
        <v/>
      </c>
      <c r="C5" s="57" t="str">
        <f t="shared" si="2"/>
        <v/>
      </c>
      <c r="D5" s="57" t="str">
        <f t="shared" si="3"/>
        <v/>
      </c>
      <c r="E5" s="57" t="str">
        <f t="shared" si="4"/>
        <v/>
      </c>
      <c r="F5" s="58" t="str">
        <f t="shared" si="5"/>
        <v/>
      </c>
      <c r="I5" s="65"/>
    </row>
    <row r="6">
      <c r="A6" s="55" t="s">
        <v>15</v>
      </c>
      <c r="B6" s="56" t="str">
        <f t="shared" si="1"/>
        <v/>
      </c>
      <c r="C6" s="57" t="str">
        <f t="shared" si="2"/>
        <v/>
      </c>
      <c r="D6" s="57" t="str">
        <f t="shared" si="3"/>
        <v/>
      </c>
      <c r="E6" s="57" t="str">
        <f t="shared" si="4"/>
        <v/>
      </c>
      <c r="F6" s="58" t="str">
        <f t="shared" si="5"/>
        <v/>
      </c>
      <c r="I6" s="65"/>
    </row>
    <row r="7">
      <c r="A7" s="55" t="s">
        <v>16</v>
      </c>
      <c r="B7" s="56" t="str">
        <f t="shared" si="1"/>
        <v/>
      </c>
      <c r="C7" s="57" t="str">
        <f t="shared" si="2"/>
        <v/>
      </c>
      <c r="D7" s="57" t="str">
        <f t="shared" si="3"/>
        <v/>
      </c>
      <c r="E7" s="57" t="str">
        <f t="shared" si="4"/>
        <v/>
      </c>
      <c r="F7" s="58" t="str">
        <f t="shared" si="5"/>
        <v/>
      </c>
      <c r="I7" s="65"/>
    </row>
    <row r="8">
      <c r="A8" s="59" t="s">
        <v>17</v>
      </c>
      <c r="B8" s="66">
        <f t="shared" si="1"/>
        <v>3</v>
      </c>
      <c r="C8" s="67">
        <f t="shared" si="2"/>
        <v>0</v>
      </c>
      <c r="D8" s="67">
        <f t="shared" si="3"/>
        <v>0</v>
      </c>
      <c r="E8" s="67">
        <f t="shared" si="4"/>
        <v>0</v>
      </c>
      <c r="F8" s="68">
        <f t="shared" si="5"/>
        <v>0</v>
      </c>
    </row>
    <row r="9">
      <c r="A9" s="60" t="s">
        <v>48</v>
      </c>
      <c r="B9" s="61">
        <f>SWITCH(SUM(B2:B8), 0, "", SUM(B2:B8))</f>
        <v>7</v>
      </c>
      <c r="C9" s="62">
        <f t="shared" ref="C9:F9" si="6">SWITCH($B$9, "", "", SUM(C$2:C$8))</f>
        <v>0</v>
      </c>
      <c r="D9" s="62">
        <f t="shared" si="6"/>
        <v>0</v>
      </c>
      <c r="E9" s="62">
        <f t="shared" si="6"/>
        <v>0</v>
      </c>
      <c r="F9" s="62">
        <f t="shared" si="6"/>
        <v>0</v>
      </c>
    </row>
    <row r="10">
      <c r="A10" s="59" t="s">
        <v>49</v>
      </c>
      <c r="B10" s="63"/>
      <c r="C10" s="64">
        <f t="shared" ref="C10:F10" si="7">SWITCH(C$9, "", "", C$9/$B$9)</f>
        <v>0</v>
      </c>
      <c r="D10" s="64">
        <f t="shared" si="7"/>
        <v>0</v>
      </c>
      <c r="E10" s="64">
        <f t="shared" si="7"/>
        <v>0</v>
      </c>
      <c r="F10" s="64">
        <f t="shared" si="7"/>
        <v>0</v>
      </c>
    </row>
  </sheetData>
  <drawing r:id="rId1"/>
</worksheet>
</file>